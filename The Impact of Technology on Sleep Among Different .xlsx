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hidePivotFieldList="1"/>
  <mc:AlternateContent xmlns:mc="http://schemas.openxmlformats.org/markup-compatibility/2006">
    <mc:Choice Requires="x15">
      <x15ac:absPath xmlns:x15ac="http://schemas.microsoft.com/office/spreadsheetml/2010/11/ac" url="/Users/eglejaseviciute/Desktop/"/>
    </mc:Choice>
  </mc:AlternateContent>
  <xr:revisionPtr revIDLastSave="0" documentId="13_ncr:1_{BC71E5EB-809E-324D-9031-C0BF44749B7A}" xr6:coauthVersionLast="47" xr6:coauthVersionMax="47" xr10:uidLastSave="{00000000-0000-0000-0000-000000000000}"/>
  <bookViews>
    <workbookView xWindow="0" yWindow="740" windowWidth="29400" windowHeight="17140" firstSheet="1" activeTab="2" xr2:uid="{00000000-000D-0000-FFFF-FFFF00000000}"/>
  </bookViews>
  <sheets>
    <sheet name="Forma iš 1 atsakymų" sheetId="1" r:id="rId1"/>
    <sheet name="Forma iš 1 atsakymų (2)" sheetId="2" r:id="rId2"/>
    <sheet name="Forma iš 1 atsakymų (3)" sheetId="3" r:id="rId3"/>
    <sheet name="Forma iš 1 atsakymų (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2" l="1"/>
  <c r="I7" i="2"/>
  <c r="J6" i="2"/>
  <c r="I6" i="2"/>
  <c r="J5" i="2"/>
  <c r="I5" i="2"/>
  <c r="I34" i="4"/>
  <c r="I33" i="4"/>
  <c r="I32" i="4"/>
  <c r="H34" i="4"/>
  <c r="H33" i="4"/>
  <c r="H32" i="4"/>
  <c r="L6" i="4"/>
  <c r="L5" i="4"/>
  <c r="L4" i="4"/>
  <c r="K6" i="4"/>
  <c r="K5" i="4"/>
  <c r="K4" i="4"/>
  <c r="J6" i="4"/>
  <c r="J5" i="4"/>
  <c r="J4" i="4"/>
  <c r="I6" i="4"/>
  <c r="I5" i="4"/>
  <c r="I4" i="4"/>
  <c r="H6" i="4"/>
  <c r="H5" i="4"/>
  <c r="H4" i="4"/>
  <c r="M31" i="3"/>
  <c r="M30" i="3"/>
  <c r="M29" i="3"/>
  <c r="L31" i="3"/>
  <c r="L30" i="3"/>
  <c r="L29" i="3"/>
  <c r="K31" i="3"/>
  <c r="K30" i="3"/>
  <c r="K29" i="3"/>
  <c r="M7" i="3"/>
  <c r="M6" i="3"/>
  <c r="M5" i="3"/>
  <c r="L7" i="3"/>
  <c r="L6" i="3"/>
  <c r="L5" i="3"/>
  <c r="J32" i="2"/>
  <c r="J31" i="2"/>
  <c r="J30" i="2"/>
  <c r="I32" i="2"/>
  <c r="I31" i="2"/>
  <c r="I30" i="2"/>
  <c r="O7" i="2"/>
  <c r="O6" i="2"/>
  <c r="O5" i="2"/>
</calcChain>
</file>

<file path=xl/sharedStrings.xml><?xml version="1.0" encoding="utf-8"?>
<sst xmlns="http://schemas.openxmlformats.org/spreadsheetml/2006/main" count="5187" uniqueCount="242">
  <si>
    <t>Laiko žymė</t>
  </si>
  <si>
    <t>Jūsų lytis</t>
  </si>
  <si>
    <t>Jūsų amžiaus grupė</t>
  </si>
  <si>
    <t>Kuo užsiimate?</t>
  </si>
  <si>
    <t>Jūsų darbas...</t>
  </si>
  <si>
    <t>Kelintą valandą nueinate miegoti?</t>
  </si>
  <si>
    <t>Kiek vidutiniškai valandų miegate?</t>
  </si>
  <si>
    <t>Prieš einant miegoti aš...</t>
  </si>
  <si>
    <t>Kiek elektroninių prietaisų turite savo miegamajame?</t>
  </si>
  <si>
    <t>Ar elektroniniai prietaisai daro įtaka jūsų miego kokybei?</t>
  </si>
  <si>
    <t>Pagrįskite savo atsakymą</t>
  </si>
  <si>
    <t>Ar turite miego sutrikimų?</t>
  </si>
  <si>
    <t>Ar dažnai sapnuojate?</t>
  </si>
  <si>
    <t>Kokie dažniausiai būna jūsų sapnai?</t>
  </si>
  <si>
    <t>Pabudęs ryte aš...</t>
  </si>
  <si>
    <t>Kaip atsikeliate ryte?</t>
  </si>
  <si>
    <t>Ar dažnai atsikeliate išsimiegojęs?</t>
  </si>
  <si>
    <t>Kokia dažniausiai būna Jūsų savijauta dieną?</t>
  </si>
  <si>
    <t>Kaip manote, kokio didumo įtaką technologijos turi miegui?</t>
  </si>
  <si>
    <t>Ar norėtumėte keisti savo miego rutiną?</t>
  </si>
  <si>
    <t>Vyras</t>
  </si>
  <si>
    <t>18-25 m.</t>
  </si>
  <si>
    <t xml:space="preserve">Studentas </t>
  </si>
  <si>
    <t>iki 1 val.</t>
  </si>
  <si>
    <t>6-8 val.</t>
  </si>
  <si>
    <t>žaidžiu vaizdo žaidimus</t>
  </si>
  <si>
    <t>2-3 prietaisus</t>
  </si>
  <si>
    <t>Taip</t>
  </si>
  <si>
    <t xml:space="preserve">Ilgiau negaliu užmigti </t>
  </si>
  <si>
    <t>Ne</t>
  </si>
  <si>
    <t>Taip ir dažniausiai prisimenu savo sapnus</t>
  </si>
  <si>
    <t>Fantastiniai</t>
  </si>
  <si>
    <t>pirmiausia paimu telefoną į rankas</t>
  </si>
  <si>
    <t>Naudoju telefono žadintuvą</t>
  </si>
  <si>
    <t>Greit pavargstu</t>
  </si>
  <si>
    <t>7 val.</t>
  </si>
  <si>
    <t>žaidžiu vaizdo žaidimus, naršau internete, susirašinėju</t>
  </si>
  <si>
    <t xml:space="preserve">Blogai jaučiuosiu atsikėlęs </t>
  </si>
  <si>
    <t>Taip, bet dažniausiai neprisimenu savo sapnų</t>
  </si>
  <si>
    <t>Košmarai, Realistiški, Fantastiniai</t>
  </si>
  <si>
    <t>Greitai pavargstu</t>
  </si>
  <si>
    <t>Moteris</t>
  </si>
  <si>
    <t>Esu studentas</t>
  </si>
  <si>
    <t>6 val.</t>
  </si>
  <si>
    <t>naršau internete, susirašinėju, skaitau knygą</t>
  </si>
  <si>
    <t>Elektroniniai prietaisai verčia nueiti miegoti vėliau</t>
  </si>
  <si>
    <t>Realistiški</t>
  </si>
  <si>
    <t>iki 23 val.</t>
  </si>
  <si>
    <t>8 val.</t>
  </si>
  <si>
    <t>žaidžiu vaizdo žaidimus, naršau internete, žiūriu filmus, serialus, TV, susirašinėju</t>
  </si>
  <si>
    <t>iškart keliuosi</t>
  </si>
  <si>
    <t>Esu mokinys</t>
  </si>
  <si>
    <t>3-5 prietaisus</t>
  </si>
  <si>
    <t>Atsikeliu pats</t>
  </si>
  <si>
    <t>Esu energingas</t>
  </si>
  <si>
    <t>Kita</t>
  </si>
  <si>
    <t>Iki 18 m.</t>
  </si>
  <si>
    <t>vėliau nei 1 val.</t>
  </si>
  <si>
    <t>daugiau nei 8 val.</t>
  </si>
  <si>
    <t>žiūriu filmus, serialus, TV, susirašinėju, nieko nedarau, iškart einu miegoti, skaitau knygą</t>
  </si>
  <si>
    <t>Turiu darbą</t>
  </si>
  <si>
    <t>nereikalauja nuolatinio bendravimo su žmonėmis</t>
  </si>
  <si>
    <t>žaidžiu vaizdo žaidimus, naršau internete</t>
  </si>
  <si>
    <t>iki 2 prietaisų</t>
  </si>
  <si>
    <t>atsigeriu vandens</t>
  </si>
  <si>
    <t>žaidžiu vaizdo žaidimus, naršau internete, žiūriu filmus, serialus, TV, susirašinėju, skaitau knygą</t>
  </si>
  <si>
    <t>Ne, višiskai nesapnuoju</t>
  </si>
  <si>
    <t>Visada mieguistas</t>
  </si>
  <si>
    <t>reikalauja nuolatinio bendravimo su žmonėmis</t>
  </si>
  <si>
    <t>iki 21 val.</t>
  </si>
  <si>
    <t>naršau internete, skaitau knygą</t>
  </si>
  <si>
    <t>Realistiški, Fantastiniai</t>
  </si>
  <si>
    <t>virš 55 m.</t>
  </si>
  <si>
    <t>žiūriu filmus, serialus, TV</t>
  </si>
  <si>
    <t>dar paguliu lovoje</t>
  </si>
  <si>
    <t>44-55 m.</t>
  </si>
  <si>
    <t>Ilgiau kol užmiegu</t>
  </si>
  <si>
    <t>35-44 m.</t>
  </si>
  <si>
    <t>žiūriu filmus, serialus, TV, skaitau knygą</t>
  </si>
  <si>
    <t>naršau internete, susirašinėju</t>
  </si>
  <si>
    <t>Dar ilgai neuzmiegu</t>
  </si>
  <si>
    <t>naršau internete</t>
  </si>
  <si>
    <t>daugiau negu 5 prietaisus</t>
  </si>
  <si>
    <t>5 val.</t>
  </si>
  <si>
    <t>naršau internete, žiūriu filmus, serialus, TV, susirašinėju</t>
  </si>
  <si>
    <t>Sunkiai užmiegu, skauda galva</t>
  </si>
  <si>
    <t>Sukelia streso</t>
  </si>
  <si>
    <t>Daznai atsikeliu</t>
  </si>
  <si>
    <t>Sunku užmigti, nevisada puiki miego kokybė</t>
  </si>
  <si>
    <t>naršau internete, žiūriu filmus, serialus, TV, susirašinėju, skaitau knygą</t>
  </si>
  <si>
    <t>Daro įtaką, nes nueini miegoti vėliu, švaistai savo laiką</t>
  </si>
  <si>
    <t>Turiu miego sutrikima, sunku užmigti, miego režimas nepastovus</t>
  </si>
  <si>
    <t>Iš tikro net nežinau</t>
  </si>
  <si>
    <t>naršau internete, žiūriu filmus, serialus, TV</t>
  </si>
  <si>
    <t>Bendrabutyje esantis šaldytuvas skleidžia garsus.</t>
  </si>
  <si>
    <t>Šaldytuvas burzgia naktį.</t>
  </si>
  <si>
    <t>žaidžiu vaizdo žaidimus, naršau internete, žiūriu filmus, serialus, TV, susirašinėju, skaitau knygą, Mokaus</t>
  </si>
  <si>
    <t>Jei yra elektroninis prietaisas, norįsi jį naudoti.</t>
  </si>
  <si>
    <t>Nemiga</t>
  </si>
  <si>
    <t>Kartais pats, kartais telefono žadintuvas.</t>
  </si>
  <si>
    <t>Mokausi</t>
  </si>
  <si>
    <t>Košmarai, Realistiški</t>
  </si>
  <si>
    <t>Nei pavargusi, nei perdaug energinga</t>
  </si>
  <si>
    <t>naršau internete, žiūriu filmus, serialus, TV, skaitau knygą</t>
  </si>
  <si>
    <t>Skleidzia garsa kai pasikrauna, vibruoja atejus pranesimui</t>
  </si>
  <si>
    <t>Prabudineju, neramiai miegu</t>
  </si>
  <si>
    <t>Košmarai, Fantastiniai</t>
  </si>
  <si>
    <t>Kartais naudojantis įrenginiais pasimiršta laikas, o todėl ir miegoti nueiname vėliau arba nebesimiega visai</t>
  </si>
  <si>
    <t>Aaa</t>
  </si>
  <si>
    <t>žaidžiu vaizdo žaidimus, žiūriu filmus, serialus, TV</t>
  </si>
  <si>
    <t>Paveikia mano gebėjimą užmigti.</t>
  </si>
  <si>
    <t xml:space="preserve">Košmarai, </t>
  </si>
  <si>
    <t>Nes prie ju budamas ir nemiegu</t>
  </si>
  <si>
    <t>Nebuna</t>
  </si>
  <si>
    <t>Pakelia kitas žmogus</t>
  </si>
  <si>
    <t>žaidžiu vaizdo žaidimus, naršau internete, žiūriu filmus, serialus, TV, susirašinėju, nieko nedarau, iškart einu miegoti</t>
  </si>
  <si>
    <t>Košmarai</t>
  </si>
  <si>
    <t>Kartais mieguistas</t>
  </si>
  <si>
    <t>Nemiega</t>
  </si>
  <si>
    <t>Atsibundu ir nebegaliu užmigti - lenda į galvą dienos darbai ir rūpesčiai</t>
  </si>
  <si>
    <t>4 val.</t>
  </si>
  <si>
    <t>Tam tikrų elektroninių prietaisų skleidžiamas garsas, ar net subtili šviesa, sudaro miegui nepalankią aplinką.</t>
  </si>
  <si>
    <t>Retai ir dažniausiai neatsimenu</t>
  </si>
  <si>
    <t>Mokausi. Žiūriu Youtube ir TikTok dėl idėjų ir žinių marketinge</t>
  </si>
  <si>
    <t>Ekranai traška, jie yra judinami, bet truputį judą per naktį</t>
  </si>
  <si>
    <t xml:space="preserve">Rūkau :D </t>
  </si>
  <si>
    <t xml:space="preserve">nes jei nemiegu tai sedu </t>
  </si>
  <si>
    <t>skaitau knygą</t>
  </si>
  <si>
    <t>Retokai</t>
  </si>
  <si>
    <t>susirašinėju</t>
  </si>
  <si>
    <t>Jaučiu kad miegu labai neramiai, esu išsiblaškiusi</t>
  </si>
  <si>
    <t>prastas miegas, daug prabudinėju, be melatonino neužmiegu</t>
  </si>
  <si>
    <t>žaidžiu vaizdo žaidimus, susirašinėju</t>
  </si>
  <si>
    <t>skaitau knygą, Mokausi</t>
  </si>
  <si>
    <t>Realistiški, Susiję su mokykla</t>
  </si>
  <si>
    <t>Kartais pati, kartais su žadintuvu</t>
  </si>
  <si>
    <t>Nebenoriu miego</t>
  </si>
  <si>
    <t>Sunkiai uzmiegu</t>
  </si>
  <si>
    <t>Negaliu užmigti nepabuvus su telefonu.</t>
  </si>
  <si>
    <t>Kai naudoju telefona pries miega uzmiegu sunkiau</t>
  </si>
  <si>
    <t>Sunkiai uzmiegu todel kreipiausi i gydytojus</t>
  </si>
  <si>
    <t>žaidžiu vaizdo žaidimus, naršau internete, žiūriu filmus, serialus, TV, susirašinėju, nieko nedarau, iškart einu miegoti, skaitau knygą</t>
  </si>
  <si>
    <t>daznai naudoju pries miega</t>
  </si>
  <si>
    <t>nesomnija</t>
  </si>
  <si>
    <t>Laikrodzio vibracijos pravibruoja mano galva</t>
  </si>
  <si>
    <t>Skauda akis</t>
  </si>
  <si>
    <t>žaidžiu vaizdo žaidimus, naršau internete, susirašinėju, skaitau knygą</t>
  </si>
  <si>
    <t>Neturiu</t>
  </si>
  <si>
    <t xml:space="preserve">Šviesos perteklius trugdo man užmigti </t>
  </si>
  <si>
    <t>Ilgiau praleidus laiko prie technologiju išsimiegu trumpiau ir prasčiau</t>
  </si>
  <si>
    <t>žiūriu filmus, serialus, TV, susirašinėju</t>
  </si>
  <si>
    <t>Seip</t>
  </si>
  <si>
    <t>Nezinau</t>
  </si>
  <si>
    <t>Manau, jeigu nesinaudočiau telefonu prieš miegą užmigčiau žymiai greičiau ir anksčiau.</t>
  </si>
  <si>
    <t>Išblaško; trukdo susikaupti; gadaina miego režimą</t>
  </si>
  <si>
    <t>Insomnija</t>
  </si>
  <si>
    <t>g</t>
  </si>
  <si>
    <t>ryte jauciuos pavargus</t>
  </si>
  <si>
    <t>Dažnai ilgai neužmiegu</t>
  </si>
  <si>
    <t>.</t>
  </si>
  <si>
    <t>Sunkiau būna užmigti dėl didesnio streso</t>
  </si>
  <si>
    <t xml:space="preserve">Jei nesinaudočiaus el. prietaisais prieš miegą, tikrai miegoti nueičiau anksčiau ir būtų kokybiškesnis. </t>
  </si>
  <si>
    <t>Būna įvairiai: kartais be energijos, kartais per daug energingas</t>
  </si>
  <si>
    <t>26-34 m.</t>
  </si>
  <si>
    <t>Ilgiau prieš miegą praleidus laiko prie telefono sunkiau užmigti</t>
  </si>
  <si>
    <t>Neramus miegas</t>
  </si>
  <si>
    <t>Taip, nes naudojiesi jais</t>
  </si>
  <si>
    <t>Sunku nueiti ankščiau miegoti, kadangi norisi vis kažka įsijungti ir žiūreti, pavyzdžiui, serialo seriją.</t>
  </si>
  <si>
    <t>Naktinis darbas</t>
  </si>
  <si>
    <t xml:space="preserve">Nevisada galiu eiti miegoti ,kada noriu toks darbo grafikas </t>
  </si>
  <si>
    <t>Blaško</t>
  </si>
  <si>
    <t>Greit užsimanau miego</t>
  </si>
  <si>
    <t>Neleidžia atsipalaiduoti</t>
  </si>
  <si>
    <t>Dėl amžiaus organizme vykstančių pokyčių, menopauzė</t>
  </si>
  <si>
    <t>Retai</t>
  </si>
  <si>
    <t>darau namų darbus</t>
  </si>
  <si>
    <t>retai</t>
  </si>
  <si>
    <t>priklauso nuo dienos</t>
  </si>
  <si>
    <t>naršau internete, žiūriu filmus, serialus, TV, susirašinėju, nieko nedarau, iškart einu miegoti, skaitau knygą, Darau rankdarbius</t>
  </si>
  <si>
    <t>Sunku laiku nueiti miegoti, nes prietaisai blaško</t>
  </si>
  <si>
    <t>Mokausi duolingo prancūzu kalba</t>
  </si>
  <si>
    <t xml:space="preserve">Is ryto esu pavargusi, atrodo lyg nebuciau miegojusi </t>
  </si>
  <si>
    <t xml:space="preserve">Naktim uztrunku kokia valanda kol pavyksta uzmigti </t>
  </si>
  <si>
    <t>Miegociau geriau</t>
  </si>
  <si>
    <t>Išbalaškymas, stresas, daug minčių</t>
  </si>
  <si>
    <t>Nebūna</t>
  </si>
  <si>
    <t>Kartais.</t>
  </si>
  <si>
    <t xml:space="preserve">Daug naršau internete prieš einant miegot arba susirašinėju su draugais, paskui dažnai būna sunku užmigti, nes mąstau apie tai, ką veikiąu telefone.
</t>
  </si>
  <si>
    <t>Kartais labai sunkliai sekasi užmigti.</t>
  </si>
  <si>
    <t>nieko nedarau, iškart einu miegoti</t>
  </si>
  <si>
    <t xml:space="preserve">Retkarčiais sapnuoju </t>
  </si>
  <si>
    <t>nzn</t>
  </si>
  <si>
    <t>Ilga laika negaliu užmigti</t>
  </si>
  <si>
    <t>Blaško spinduliavimas</t>
  </si>
  <si>
    <t>Dienos eigoje keičiasi savijauta</t>
  </si>
  <si>
    <t>žaidžiu vaizdo žaidimus, naršau internete, žiūriu tik tok</t>
  </si>
  <si>
    <t>Insomnia, neramiu kojų sindromas</t>
  </si>
  <si>
    <t>Eidama miegoti įjungiu lėktuvo režimą, jei to nepadarau, miegas tikrai būna nepilnavertis, prabundu ankščiau, neužmiegu, tada telefonas į rankas ir pirmyn....</t>
  </si>
  <si>
    <t>iki 3 val.</t>
  </si>
  <si>
    <t>Naudoju atskirą žadintuvą</t>
  </si>
  <si>
    <t>Garsai iš mobiliojo telefono.</t>
  </si>
  <si>
    <t>Pozityvus mąstymas - reikia rinktis tik “taip”.</t>
  </si>
  <si>
    <t>Dažnai jaučiu didesnį nuovargį, galvos skausmą.</t>
  </si>
  <si>
    <t>Sunku užmigti, jaučiuosi nepailsėjusi.</t>
  </si>
  <si>
    <t>Klausausi muzikos</t>
  </si>
  <si>
    <t>Turiu sunkumų užmigti</t>
  </si>
  <si>
    <t>Fantastiniai, “Kas būtų, jeigu būtų” sapnai.</t>
  </si>
  <si>
    <t>Išsimaudau</t>
  </si>
  <si>
    <t>Per laiką gaunu energijos</t>
  </si>
  <si>
    <t xml:space="preserve">Prieš miegą ilgai žiūrint į telefoną ar televizorių sunkiau nieko nebegalvoti ir užmigti.  </t>
  </si>
  <si>
    <t>Kiekviena karta skirtingai</t>
  </si>
  <si>
    <t xml:space="preserve">Kartais negaliu užmigti tada ima noras atidaryti  telefoną </t>
  </si>
  <si>
    <t>Priklauso nuo daug faktorių,  dazniausiai energingas</t>
  </si>
  <si>
    <t>Atsakymo nežinau</t>
  </si>
  <si>
    <t>Atsakymo neturiu.</t>
  </si>
  <si>
    <t>Atsisėdus padarau pratimus su galvą.</t>
  </si>
  <si>
    <t>Skaičiau kažkur</t>
  </si>
  <si>
    <t>žaidžiu vaizdo žaidimus, naršau internete, žiūriu filmus, serialus, TV, susirašinėju, skaitau knygą, mokausi</t>
  </si>
  <si>
    <t>mokausi</t>
  </si>
  <si>
    <t>mokausi, naršau internete</t>
  </si>
  <si>
    <t>skaitau knygą, mokausi</t>
  </si>
  <si>
    <t>naršau internete, žiūriu filmus, serialus, TV, susirašinėju, nieko nedarau, iškart einu miegoti, skaitau knygą</t>
  </si>
  <si>
    <t>18-34</t>
  </si>
  <si>
    <t>Uses technology</t>
  </si>
  <si>
    <t>Does not use technology</t>
  </si>
  <si>
    <t>Under 18</t>
  </si>
  <si>
    <t>Total</t>
  </si>
  <si>
    <t>7 or more hours</t>
  </si>
  <si>
    <t>Less than 7 hours</t>
  </si>
  <si>
    <t>Yes, and I usually remember my dreams</t>
  </si>
  <si>
    <t>Yes, but I usually don't remember my dreams</t>
  </si>
  <si>
    <t>No, I don't dream at all or very rarely</t>
  </si>
  <si>
    <t xml:space="preserve">Both </t>
  </si>
  <si>
    <t>No</t>
  </si>
  <si>
    <t>Yes</t>
  </si>
  <si>
    <t>Now I would like to take a look at bedtime habits among different age groups, so here you can see that there is no big difference between these age groups. The majority of respondents claimed that their bedtime routine includes technology and it is pretty sad to see that a difference between those who use technology and those who do not is quite major. Maybe after this presentation or in the near future we will be able to see some changes.</t>
  </si>
  <si>
    <t>Moving on, here is a graph of average sleep hours among different age groups, here you can see that all of the respondents in these three age groups sleep 7 or more hours a day, and looking at the graph it is about two thirds of all the participants overall. So the conclusion of these two graphs would be that even though people tend to use electronic devices before sleep it does not seem to be effecting their average sleep hours a lot.</t>
  </si>
  <si>
    <t>Now let's talk about sleeping problems. In our questionnaire we asked if participants have any troubles sleeping or falling asleep. A great deal of participants, despite the different age groups, picked the answer no, however those who chose yes also wrote some problems that they face sleeping or while trying to fall asleep, for example, insomnia, awakenings in the middle of the night, headaches and even anxiety. Hovewer, looking at these difficulties we believe that technology usage might not be the main cause of these problems, since it could also be related to some health issues, yet technologies might still take part in it.</t>
  </si>
  <si>
    <t>Looking at this graph it is pretty clear that there is no big difference between different age groups. If we tried to calculate how many participants do dream, but do not remember their dreams, we would get that more than 50% of all the respondents chose this answer, hovewer the most interesting part from this is that we asked the participants to share what kind of dreams they have and about a third of those who do dream and remember their dreams, have nighmares, which might also be the cause of some sleeping problems which I mentioned earlier.</t>
  </si>
  <si>
    <t>And moving on to the last results, we asked participants to rank technologies impact on sleep from 1 to 5 where one means very little impact to 5 with huge impact. And here we got some interesting numbers. So even though most of all the participants picked number 3, people's, whose age is 35 or over, choices are mostly distributed between 1 to 3, where as choices of the other two goups are mostly distributed from 3 to 5, which means that elder generation believes that that technologies do not have much power on sleep quality, where as the younger ones have different thoughts. And this might be because the younger generation is much more involved in this modern world with all these technologies than the elder generation.</t>
  </si>
  <si>
    <t xml:space="preserve">And last but not least we asked participants if they would like to change their bedtime routines and here if we incorparate findings from the previous graph, we can crearly see that younger generation would like to change their sleeping habits while older generation is a bit sceptical and as we can see that three quarter or 75% of the respondents are happy with their bedtime routines, and as I mentioned before this might be because of the technology usage between older and younger generation. </t>
  </si>
  <si>
    <t>over 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</si>
</sst>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18" x14ac:knownFonts="1">
    <font>
      <sz val="10"/>
      <color rgb="FF000000"/>
      <name val="Arial"/>
      <scheme val="minor"/>
    </font>
    <font>
      <sz val="10"/>
      <color theme="1"/>
      <name val="Arial"/>
      <family val="2"/>
      <scheme val="minor"/>
    </font>
    <font>
      <sz val="10"/>
      <color theme="1"/>
      <name val="Arial"/>
      <family val="2"/>
      <scheme val="minor"/>
    </font>
    <font>
      <sz val="10"/>
      <color rgb="FF000000"/>
      <name val="Arial"/>
      <family val="2"/>
      <scheme val="minor"/>
    </font>
    <font>
      <sz val="10"/>
      <color rgb="FFFF0000"/>
      <name val="Arial"/>
      <family val="2"/>
      <scheme val="minor"/>
    </font>
    <font>
      <sz val="10"/>
      <color rgb="FF00B050"/>
      <name val="Arial"/>
      <family val="2"/>
      <scheme val="minor"/>
    </font>
    <font>
      <sz val="10"/>
      <color theme="7"/>
      <name val="Arial"/>
      <family val="2"/>
      <scheme val="minor"/>
    </font>
    <font>
      <sz val="10"/>
      <color theme="8"/>
      <name val="Arial"/>
      <family val="2"/>
      <scheme val="minor"/>
    </font>
    <font>
      <sz val="10"/>
      <color theme="8"/>
      <name val="Arial (Body)"/>
    </font>
    <font>
      <sz val="10"/>
      <color theme="5"/>
      <name val="Arial"/>
      <family val="2"/>
      <scheme val="minor"/>
    </font>
    <font>
      <sz val="10"/>
      <name val="Arial"/>
      <family val="2"/>
      <scheme val="minor"/>
    </font>
    <font>
      <sz val="10"/>
      <color rgb="FF0070C0"/>
      <name val="Arial"/>
      <family val="2"/>
      <scheme val="minor"/>
    </font>
    <font>
      <sz val="10"/>
      <color rgb="FFFFC000"/>
      <name val="Arial"/>
      <family val="2"/>
      <scheme val="minor"/>
    </font>
    <font>
      <b/>
      <sz val="10"/>
      <color theme="1"/>
      <name val="Arial"/>
      <family val="2"/>
      <scheme val="minor"/>
    </font>
    <font>
      <b/>
      <sz val="10"/>
      <color rgb="FF000000"/>
      <name val="Arial"/>
      <family val="2"/>
      <scheme val="minor"/>
    </font>
    <font>
      <sz val="10"/>
      <color theme="3"/>
      <name val="Arial"/>
      <family val="2"/>
      <scheme val="minor"/>
    </font>
    <font>
      <b/>
      <sz val="10"/>
      <color theme="3"/>
      <name val="Arial"/>
      <family val="2"/>
      <scheme val="minor"/>
    </font>
    <font>
      <sz val="10"/>
      <color rgb="FF000000"/>
      <name val="Arial"/>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7" fillId="0" borderId="0" applyFont="0" applyFill="0" applyBorder="0" applyAlignment="0" applyProtection="0"/>
  </cellStyleXfs>
  <cellXfs count="45">
    <xf numFmtId="0" fontId="0" fillId="0" borderId="0" xfId="0"/>
    <xf numFmtId="0" fontId="1" fillId="0" borderId="0" xfId="0" applyFont="1"/>
    <xf numFmtId="164" fontId="1" fillId="0" borderId="0" xfId="0" applyNumberFormat="1" applyFont="1"/>
    <xf numFmtId="0" fontId="2" fillId="0" borderId="0" xfId="0" applyFont="1"/>
    <xf numFmtId="0" fontId="0" fillId="0" borderId="1" xfId="0" applyBorder="1"/>
    <xf numFmtId="0" fontId="4" fillId="0" borderId="0" xfId="0" applyFont="1"/>
    <xf numFmtId="0" fontId="3"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 fillId="2" borderId="0" xfId="0" applyFont="1" applyFill="1"/>
    <xf numFmtId="0" fontId="1" fillId="3" borderId="0" xfId="0" applyFont="1" applyFill="1"/>
    <xf numFmtId="0" fontId="2" fillId="4" borderId="0" xfId="0" applyFont="1" applyFill="1"/>
    <xf numFmtId="0" fontId="1" fillId="4" borderId="0" xfId="0" applyFont="1" applyFill="1"/>
    <xf numFmtId="0" fontId="11" fillId="0" borderId="0" xfId="0" applyFont="1"/>
    <xf numFmtId="0" fontId="12" fillId="0" borderId="0" xfId="0" applyFont="1"/>
    <xf numFmtId="0" fontId="2" fillId="0" borderId="2" xfId="0" applyFont="1" applyBorder="1"/>
    <xf numFmtId="0" fontId="2" fillId="0" borderId="3" xfId="0" applyFont="1" applyBorder="1"/>
    <xf numFmtId="0" fontId="3" fillId="0" borderId="0" xfId="0" applyFont="1" applyAlignment="1">
      <alignment wrapText="1"/>
    </xf>
    <xf numFmtId="0" fontId="13" fillId="5" borderId="1" xfId="0" applyFont="1" applyFill="1" applyBorder="1" applyAlignment="1">
      <alignment horizontal="center"/>
    </xf>
    <xf numFmtId="16" fontId="14" fillId="5" borderId="1" xfId="0" applyNumberFormat="1" applyFont="1" applyFill="1" applyBorder="1" applyAlignment="1">
      <alignment horizontal="center"/>
    </xf>
    <xf numFmtId="0" fontId="13" fillId="0" borderId="1" xfId="0" applyFont="1" applyBorder="1"/>
    <xf numFmtId="0" fontId="14" fillId="0" borderId="1" xfId="0" applyFont="1" applyBorder="1"/>
    <xf numFmtId="0" fontId="13" fillId="0" borderId="2" xfId="0" applyFont="1" applyBorder="1"/>
    <xf numFmtId="0" fontId="15" fillId="0" borderId="2" xfId="0" applyFont="1" applyBorder="1"/>
    <xf numFmtId="0" fontId="16" fillId="5" borderId="2" xfId="0" applyFont="1" applyFill="1" applyBorder="1" applyAlignment="1">
      <alignment horizontal="center"/>
    </xf>
    <xf numFmtId="0" fontId="16" fillId="5" borderId="1" xfId="0" applyFont="1" applyFill="1" applyBorder="1" applyAlignment="1">
      <alignment horizontal="center" vertical="center"/>
    </xf>
    <xf numFmtId="0" fontId="13" fillId="0" borderId="6" xfId="0" applyFont="1" applyBorder="1"/>
    <xf numFmtId="0" fontId="14" fillId="0" borderId="6" xfId="0" applyFont="1" applyBorder="1"/>
    <xf numFmtId="0" fontId="16" fillId="5" borderId="1" xfId="0" applyFont="1" applyFill="1" applyBorder="1" applyAlignment="1">
      <alignment horizontal="center"/>
    </xf>
    <xf numFmtId="0" fontId="16" fillId="5" borderId="4" xfId="0" applyFont="1" applyFill="1" applyBorder="1" applyAlignment="1">
      <alignment horizontal="center"/>
    </xf>
    <xf numFmtId="165" fontId="1" fillId="0" borderId="1" xfId="1" applyNumberFormat="1" applyFont="1" applyBorder="1"/>
    <xf numFmtId="165" fontId="2" fillId="0" borderId="1" xfId="1" applyNumberFormat="1" applyFont="1" applyBorder="1"/>
    <xf numFmtId="9" fontId="2" fillId="0" borderId="1" xfId="1" applyFont="1" applyBorder="1"/>
    <xf numFmtId="165" fontId="0" fillId="0" borderId="1" xfId="1" applyNumberFormat="1" applyFont="1" applyBorder="1"/>
    <xf numFmtId="9" fontId="0" fillId="0" borderId="1" xfId="1" applyFont="1" applyBorder="1"/>
    <xf numFmtId="9" fontId="0" fillId="0" borderId="5" xfId="1" applyFont="1" applyBorder="1"/>
    <xf numFmtId="165" fontId="3" fillId="0" borderId="1" xfId="1" applyNumberFormat="1" applyFont="1" applyBorder="1"/>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2">
    <cellStyle name="Normal" xfId="0" builtinId="0"/>
    <cellStyle name="Per cent" xfId="1" builtinId="5"/>
  </cellStyles>
  <dxfs count="0"/>
  <tableStyles count="0" defaultTableStyle="TableStyleMedium2" defaultPivotStyle="PivotStyleLight16"/>
  <colors>
    <mruColors>
      <color rgb="FFFF929A"/>
      <color rgb="FF0B0000"/>
      <color rgb="FF960000"/>
      <color rgb="FFFE725F"/>
      <color rgb="FFE49B13"/>
      <color rgb="FFFF004D"/>
      <color rgb="FFF2D300"/>
      <color rgb="FFE96A00"/>
      <color rgb="FFDCC700"/>
      <color rgb="FFFE73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b="1"/>
              <a:t>Bedtime habits among different age groups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LT"/>
        </a:p>
      </c:txPr>
    </c:title>
    <c:autoTitleDeleted val="0"/>
    <c:plotArea>
      <c:layout>
        <c:manualLayout>
          <c:layoutTarget val="inner"/>
          <c:xMode val="edge"/>
          <c:yMode val="edge"/>
          <c:x val="7.7085539696406427E-2"/>
          <c:y val="0.1552503280839895"/>
          <c:w val="0.91130171545394523"/>
          <c:h val="0.58014829396325462"/>
        </c:manualLayout>
      </c:layout>
      <c:barChart>
        <c:barDir val="col"/>
        <c:grouping val="clustered"/>
        <c:varyColors val="0"/>
        <c:ser>
          <c:idx val="0"/>
          <c:order val="0"/>
          <c:tx>
            <c:strRef>
              <c:f>'Forma iš 1 atsakymų (2)'!$I$4</c:f>
              <c:strCache>
                <c:ptCount val="1"/>
                <c:pt idx="0">
                  <c:v>Uses technology</c:v>
                </c:pt>
              </c:strCache>
            </c:strRef>
          </c:tx>
          <c:spPr>
            <a:solidFill>
              <a:srgbClr val="8B54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(2)'!$H$5:$H$7</c:f>
              <c:strCache>
                <c:ptCount val="3"/>
                <c:pt idx="0">
                  <c:v>Under 18</c:v>
                </c:pt>
                <c:pt idx="1">
                  <c:v>18-34</c:v>
                </c:pt>
                <c:pt idx="2">
                  <c:v>over 34</c:v>
                </c:pt>
              </c:strCache>
            </c:strRef>
          </c:cat>
          <c:val>
            <c:numRef>
              <c:f>'Forma iš 1 atsakymų (2)'!$I$5:$I$7</c:f>
              <c:numCache>
                <c:formatCode>0.0%</c:formatCode>
                <c:ptCount val="3"/>
                <c:pt idx="0">
                  <c:v>0.87096774193548387</c:v>
                </c:pt>
                <c:pt idx="1">
                  <c:v>0.91304347826086951</c:v>
                </c:pt>
                <c:pt idx="2">
                  <c:v>0.88</c:v>
                </c:pt>
              </c:numCache>
            </c:numRef>
          </c:val>
          <c:extLst>
            <c:ext xmlns:c16="http://schemas.microsoft.com/office/drawing/2014/chart" uri="{C3380CC4-5D6E-409C-BE32-E72D297353CC}">
              <c16:uniqueId val="{00000000-D369-FC41-83E8-6210E58537B3}"/>
            </c:ext>
          </c:extLst>
        </c:ser>
        <c:ser>
          <c:idx val="1"/>
          <c:order val="1"/>
          <c:tx>
            <c:strRef>
              <c:f>'Forma iš 1 atsakymų (2)'!$J$4</c:f>
              <c:strCache>
                <c:ptCount val="1"/>
                <c:pt idx="0">
                  <c:v>Does not use technology</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(2)'!$H$5:$H$7</c:f>
              <c:strCache>
                <c:ptCount val="3"/>
                <c:pt idx="0">
                  <c:v>Under 18</c:v>
                </c:pt>
                <c:pt idx="1">
                  <c:v>18-34</c:v>
                </c:pt>
                <c:pt idx="2">
                  <c:v>over 34</c:v>
                </c:pt>
              </c:strCache>
            </c:strRef>
          </c:cat>
          <c:val>
            <c:numRef>
              <c:f>'Forma iš 1 atsakymų (2)'!$J$5:$J$7</c:f>
              <c:numCache>
                <c:formatCode>0.0%</c:formatCode>
                <c:ptCount val="3"/>
                <c:pt idx="0">
                  <c:v>0.12903225806451613</c:v>
                </c:pt>
                <c:pt idx="1">
                  <c:v>8.6956521739130432E-2</c:v>
                </c:pt>
                <c:pt idx="2" formatCode="0%">
                  <c:v>0.12</c:v>
                </c:pt>
              </c:numCache>
            </c:numRef>
          </c:val>
          <c:extLst>
            <c:ext xmlns:c16="http://schemas.microsoft.com/office/drawing/2014/chart" uri="{C3380CC4-5D6E-409C-BE32-E72D297353CC}">
              <c16:uniqueId val="{00000001-D369-FC41-83E8-6210E58537B3}"/>
            </c:ext>
          </c:extLst>
        </c:ser>
        <c:dLbls>
          <c:dLblPos val="outEnd"/>
          <c:showLegendKey val="0"/>
          <c:showVal val="1"/>
          <c:showCatName val="0"/>
          <c:showSerName val="0"/>
          <c:showPercent val="0"/>
          <c:showBubbleSize val="0"/>
        </c:dLbls>
        <c:gapWidth val="219"/>
        <c:overlap val="-27"/>
        <c:axId val="644207823"/>
        <c:axId val="1229206560"/>
      </c:barChart>
      <c:catAx>
        <c:axId val="644207823"/>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Age groups</a:t>
                </a:r>
              </a:p>
            </c:rich>
          </c:tx>
          <c:layout>
            <c:manualLayout>
              <c:xMode val="edge"/>
              <c:yMode val="edge"/>
              <c:x val="0.45714322523928974"/>
              <c:y val="0.8193710629921260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1229206560"/>
        <c:crossesAt val="0"/>
        <c:auto val="1"/>
        <c:lblAlgn val="ctr"/>
        <c:lblOffset val="100"/>
        <c:noMultiLvlLbl val="0"/>
      </c:catAx>
      <c:valAx>
        <c:axId val="12292065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644207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defRPr>
      </a:pPr>
      <a:endParaRPr lang="en-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b="1"/>
              <a:t>How many hours do respondents sleep on average?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LT"/>
        </a:p>
      </c:txPr>
    </c:title>
    <c:autoTitleDeleted val="0"/>
    <c:plotArea>
      <c:layout/>
      <c:barChart>
        <c:barDir val="bar"/>
        <c:grouping val="clustered"/>
        <c:varyColors val="0"/>
        <c:ser>
          <c:idx val="0"/>
          <c:order val="0"/>
          <c:tx>
            <c:strRef>
              <c:f>'Forma iš 1 atsakymų (2)'!$I$29</c:f>
              <c:strCache>
                <c:ptCount val="1"/>
                <c:pt idx="0">
                  <c:v>Less than 7 hours</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(2)'!$H$30:$H$32</c:f>
              <c:strCache>
                <c:ptCount val="3"/>
                <c:pt idx="0">
                  <c:v>Under 18</c:v>
                </c:pt>
                <c:pt idx="1">
                  <c:v>18-34</c:v>
                </c:pt>
                <c:pt idx="2">
                  <c:v>over 34</c:v>
                </c:pt>
              </c:strCache>
            </c:strRef>
          </c:cat>
          <c:val>
            <c:numRef>
              <c:f>'Forma iš 1 atsakymų (2)'!$I$30:$I$32</c:f>
              <c:numCache>
                <c:formatCode>0.0%</c:formatCode>
                <c:ptCount val="3"/>
                <c:pt idx="0">
                  <c:v>0.36363636363636365</c:v>
                </c:pt>
                <c:pt idx="1">
                  <c:v>0.38461538461538464</c:v>
                </c:pt>
                <c:pt idx="2">
                  <c:v>0.33333333333333331</c:v>
                </c:pt>
              </c:numCache>
            </c:numRef>
          </c:val>
          <c:extLst>
            <c:ext xmlns:c16="http://schemas.microsoft.com/office/drawing/2014/chart" uri="{C3380CC4-5D6E-409C-BE32-E72D297353CC}">
              <c16:uniqueId val="{00000000-96FD-6346-8C94-A3E516526BF2}"/>
            </c:ext>
          </c:extLst>
        </c:ser>
        <c:ser>
          <c:idx val="1"/>
          <c:order val="1"/>
          <c:tx>
            <c:strRef>
              <c:f>'Forma iš 1 atsakymų (2)'!$J$29</c:f>
              <c:strCache>
                <c:ptCount val="1"/>
                <c:pt idx="0">
                  <c:v>7 or more hours</c:v>
                </c:pt>
              </c:strCache>
            </c:strRef>
          </c:tx>
          <c:spPr>
            <a:solidFill>
              <a:srgbClr val="5900E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(2)'!$H$30:$H$32</c:f>
              <c:strCache>
                <c:ptCount val="3"/>
                <c:pt idx="0">
                  <c:v>Under 18</c:v>
                </c:pt>
                <c:pt idx="1">
                  <c:v>18-34</c:v>
                </c:pt>
                <c:pt idx="2">
                  <c:v>over 34</c:v>
                </c:pt>
              </c:strCache>
            </c:strRef>
          </c:cat>
          <c:val>
            <c:numRef>
              <c:f>'Forma iš 1 atsakymų (2)'!$J$30:$J$32</c:f>
              <c:numCache>
                <c:formatCode>0.0%</c:formatCode>
                <c:ptCount val="3"/>
                <c:pt idx="0">
                  <c:v>0.63636363636363635</c:v>
                </c:pt>
                <c:pt idx="1">
                  <c:v>0.61538461538461542</c:v>
                </c:pt>
                <c:pt idx="2">
                  <c:v>0.66666666666666663</c:v>
                </c:pt>
              </c:numCache>
            </c:numRef>
          </c:val>
          <c:extLst>
            <c:ext xmlns:c16="http://schemas.microsoft.com/office/drawing/2014/chart" uri="{C3380CC4-5D6E-409C-BE32-E72D297353CC}">
              <c16:uniqueId val="{00000001-96FD-6346-8C94-A3E516526BF2}"/>
            </c:ext>
          </c:extLst>
        </c:ser>
        <c:dLbls>
          <c:dLblPos val="outEnd"/>
          <c:showLegendKey val="0"/>
          <c:showVal val="1"/>
          <c:showCatName val="0"/>
          <c:showSerName val="0"/>
          <c:showPercent val="0"/>
          <c:showBubbleSize val="0"/>
        </c:dLbls>
        <c:gapWidth val="219"/>
        <c:axId val="644211919"/>
        <c:axId val="1229386064"/>
      </c:barChart>
      <c:valAx>
        <c:axId val="1229386064"/>
        <c:scaling>
          <c:orientation val="minMax"/>
          <c:max val="0.8"/>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644211919"/>
        <c:crosses val="autoZero"/>
        <c:crossBetween val="between"/>
      </c:valAx>
      <c:catAx>
        <c:axId val="644211919"/>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Age groups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12293860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defRPr>
      </a:pPr>
      <a:endParaRPr lang="en-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b="1"/>
              <a:t>Do you have trouble sleeping?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LT"/>
        </a:p>
      </c:txPr>
    </c:title>
    <c:autoTitleDeleted val="0"/>
    <c:plotArea>
      <c:layout>
        <c:manualLayout>
          <c:layoutTarget val="inner"/>
          <c:xMode val="edge"/>
          <c:yMode val="edge"/>
          <c:x val="7.4287374098177913E-2"/>
          <c:y val="0.15041666666666667"/>
          <c:w val="0.90377842849404544"/>
          <c:h val="0.62696030183727036"/>
        </c:manualLayout>
      </c:layout>
      <c:barChart>
        <c:barDir val="col"/>
        <c:grouping val="stacked"/>
        <c:varyColors val="0"/>
        <c:ser>
          <c:idx val="0"/>
          <c:order val="0"/>
          <c:tx>
            <c:strRef>
              <c:f>'Forma iš 1 atsakymų (3)'!$L$4</c:f>
              <c:strCache>
                <c:ptCount val="1"/>
                <c:pt idx="0">
                  <c:v>No</c:v>
                </c:pt>
              </c:strCache>
            </c:strRef>
          </c:tx>
          <c:spPr>
            <a:solidFill>
              <a:srgbClr val="960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(3)'!$K$5:$K$7</c:f>
              <c:strCache>
                <c:ptCount val="3"/>
                <c:pt idx="0">
                  <c:v>Under 18</c:v>
                </c:pt>
                <c:pt idx="1">
                  <c:v>18-34</c:v>
                </c:pt>
                <c:pt idx="2">
                  <c:v>over 34</c:v>
                </c:pt>
              </c:strCache>
            </c:strRef>
          </c:cat>
          <c:val>
            <c:numRef>
              <c:f>'Forma iš 1 atsakymų (3)'!$L$5:$L$7</c:f>
              <c:numCache>
                <c:formatCode>0.0%</c:formatCode>
                <c:ptCount val="3"/>
                <c:pt idx="0">
                  <c:v>0.81818181818181823</c:v>
                </c:pt>
                <c:pt idx="1">
                  <c:v>0.81318681318681318</c:v>
                </c:pt>
                <c:pt idx="2">
                  <c:v>0.7931034482758621</c:v>
                </c:pt>
              </c:numCache>
            </c:numRef>
          </c:val>
          <c:extLst>
            <c:ext xmlns:c16="http://schemas.microsoft.com/office/drawing/2014/chart" uri="{C3380CC4-5D6E-409C-BE32-E72D297353CC}">
              <c16:uniqueId val="{00000000-1DB6-B64A-8CDA-FDB17BF45120}"/>
            </c:ext>
          </c:extLst>
        </c:ser>
        <c:ser>
          <c:idx val="1"/>
          <c:order val="1"/>
          <c:tx>
            <c:strRef>
              <c:f>'Forma iš 1 atsakymų (3)'!$M$4</c:f>
              <c:strCache>
                <c:ptCount val="1"/>
                <c:pt idx="0">
                  <c:v>Yes</c:v>
                </c:pt>
              </c:strCache>
            </c:strRef>
          </c:tx>
          <c:spPr>
            <a:solidFill>
              <a:srgbClr val="E49B1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(3)'!$K$5:$K$7</c:f>
              <c:strCache>
                <c:ptCount val="3"/>
                <c:pt idx="0">
                  <c:v>Under 18</c:v>
                </c:pt>
                <c:pt idx="1">
                  <c:v>18-34</c:v>
                </c:pt>
                <c:pt idx="2">
                  <c:v>over 34</c:v>
                </c:pt>
              </c:strCache>
            </c:strRef>
          </c:cat>
          <c:val>
            <c:numRef>
              <c:f>'Forma iš 1 atsakymų (3)'!$M$5:$M$7</c:f>
              <c:numCache>
                <c:formatCode>0.0%</c:formatCode>
                <c:ptCount val="3"/>
                <c:pt idx="0">
                  <c:v>0.18181818181818182</c:v>
                </c:pt>
                <c:pt idx="1">
                  <c:v>0.18681318681318682</c:v>
                </c:pt>
                <c:pt idx="2">
                  <c:v>0.20689655172413793</c:v>
                </c:pt>
              </c:numCache>
            </c:numRef>
          </c:val>
          <c:extLst>
            <c:ext xmlns:c16="http://schemas.microsoft.com/office/drawing/2014/chart" uri="{C3380CC4-5D6E-409C-BE32-E72D297353CC}">
              <c16:uniqueId val="{00000001-1DB6-B64A-8CDA-FDB17BF45120}"/>
            </c:ext>
          </c:extLst>
        </c:ser>
        <c:dLbls>
          <c:dLblPos val="ctr"/>
          <c:showLegendKey val="0"/>
          <c:showVal val="1"/>
          <c:showCatName val="0"/>
          <c:showSerName val="0"/>
          <c:showPercent val="0"/>
          <c:showBubbleSize val="0"/>
        </c:dLbls>
        <c:gapWidth val="219"/>
        <c:overlap val="100"/>
        <c:axId val="1398625584"/>
        <c:axId val="1542970736"/>
      </c:barChart>
      <c:catAx>
        <c:axId val="139862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a:t>Age</a:t>
                </a:r>
                <a:r>
                  <a:rPr lang="en-GB" baseline="0"/>
                  <a:t> groups</a:t>
                </a:r>
                <a:endParaRPr lang="en-GB"/>
              </a:p>
            </c:rich>
          </c:tx>
          <c:layout>
            <c:manualLayout>
              <c:xMode val="edge"/>
              <c:yMode val="edge"/>
              <c:x val="0.46920749562336611"/>
              <c:y val="0.843960301837270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L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LT"/>
          </a:p>
        </c:txPr>
        <c:crossAx val="1542970736"/>
        <c:crosses val="autoZero"/>
        <c:auto val="1"/>
        <c:lblAlgn val="ctr"/>
        <c:lblOffset val="100"/>
        <c:noMultiLvlLbl val="0"/>
      </c:catAx>
      <c:valAx>
        <c:axId val="154297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LT"/>
          </a:p>
        </c:txPr>
        <c:crossAx val="1398625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L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defRPr>
      </a:pPr>
      <a:endParaRPr lang="en-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b="1"/>
              <a:t>Do you often dream?</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LT"/>
        </a:p>
      </c:txPr>
    </c:title>
    <c:autoTitleDeleted val="0"/>
    <c:plotArea>
      <c:layout>
        <c:manualLayout>
          <c:layoutTarget val="inner"/>
          <c:xMode val="edge"/>
          <c:yMode val="edge"/>
          <c:x val="0.15740822007121721"/>
          <c:y val="0.13674242424242425"/>
          <c:w val="0.80868298309845033"/>
          <c:h val="0.57082852143482077"/>
        </c:manualLayout>
      </c:layout>
      <c:barChart>
        <c:barDir val="bar"/>
        <c:grouping val="clustered"/>
        <c:varyColors val="0"/>
        <c:ser>
          <c:idx val="0"/>
          <c:order val="0"/>
          <c:tx>
            <c:strRef>
              <c:f>'Forma iš 1 atsakymų (3)'!$K$28</c:f>
              <c:strCache>
                <c:ptCount val="1"/>
                <c:pt idx="0">
                  <c:v>Yes, and I usually remember my dreams</c:v>
                </c:pt>
              </c:strCache>
            </c:strRef>
          </c:tx>
          <c:spPr>
            <a:solidFill>
              <a:srgbClr val="FF92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(3)'!$J$29:$J$31</c:f>
              <c:strCache>
                <c:ptCount val="3"/>
                <c:pt idx="0">
                  <c:v>Under 18</c:v>
                </c:pt>
                <c:pt idx="1">
                  <c:v>18-34</c:v>
                </c:pt>
                <c:pt idx="2">
                  <c:v>over 34</c:v>
                </c:pt>
              </c:strCache>
            </c:strRef>
          </c:cat>
          <c:val>
            <c:numRef>
              <c:f>'Forma iš 1 atsakymų (3)'!$K$29:$K$31</c:f>
              <c:numCache>
                <c:formatCode>0.0%</c:formatCode>
                <c:ptCount val="3"/>
                <c:pt idx="0">
                  <c:v>0.26829268292682928</c:v>
                </c:pt>
                <c:pt idx="1">
                  <c:v>0.31914893617021278</c:v>
                </c:pt>
                <c:pt idx="2" formatCode="0%">
                  <c:v>0.3</c:v>
                </c:pt>
              </c:numCache>
            </c:numRef>
          </c:val>
          <c:extLst>
            <c:ext xmlns:c16="http://schemas.microsoft.com/office/drawing/2014/chart" uri="{C3380CC4-5D6E-409C-BE32-E72D297353CC}">
              <c16:uniqueId val="{00000000-57F0-7549-A1A0-30CE0E8507E2}"/>
            </c:ext>
          </c:extLst>
        </c:ser>
        <c:ser>
          <c:idx val="1"/>
          <c:order val="1"/>
          <c:tx>
            <c:strRef>
              <c:f>'Forma iš 1 atsakymų (3)'!$L$28</c:f>
              <c:strCache>
                <c:ptCount val="1"/>
                <c:pt idx="0">
                  <c:v>Yes, but I usually don't remember my dreams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(3)'!$J$29:$J$31</c:f>
              <c:strCache>
                <c:ptCount val="3"/>
                <c:pt idx="0">
                  <c:v>Under 18</c:v>
                </c:pt>
                <c:pt idx="1">
                  <c:v>18-34</c:v>
                </c:pt>
                <c:pt idx="2">
                  <c:v>over 34</c:v>
                </c:pt>
              </c:strCache>
            </c:strRef>
          </c:cat>
          <c:val>
            <c:numRef>
              <c:f>'Forma iš 1 atsakymų (3)'!$L$29:$L$31</c:f>
              <c:numCache>
                <c:formatCode>0.0%</c:formatCode>
                <c:ptCount val="3"/>
                <c:pt idx="0">
                  <c:v>0.56097560975609762</c:v>
                </c:pt>
                <c:pt idx="1">
                  <c:v>0.51063829787234039</c:v>
                </c:pt>
                <c:pt idx="2">
                  <c:v>0.56666666666666665</c:v>
                </c:pt>
              </c:numCache>
            </c:numRef>
          </c:val>
          <c:extLst>
            <c:ext xmlns:c16="http://schemas.microsoft.com/office/drawing/2014/chart" uri="{C3380CC4-5D6E-409C-BE32-E72D297353CC}">
              <c16:uniqueId val="{00000001-57F0-7549-A1A0-30CE0E8507E2}"/>
            </c:ext>
          </c:extLst>
        </c:ser>
        <c:ser>
          <c:idx val="2"/>
          <c:order val="2"/>
          <c:tx>
            <c:strRef>
              <c:f>'Forma iš 1 atsakymų (3)'!$M$28</c:f>
              <c:strCache>
                <c:ptCount val="1"/>
                <c:pt idx="0">
                  <c:v>No, I don't dream at all or very rarely</c:v>
                </c:pt>
              </c:strCache>
            </c:strRef>
          </c:tx>
          <c:spPr>
            <a:solidFill>
              <a:srgbClr val="0B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(3)'!$J$29:$J$31</c:f>
              <c:strCache>
                <c:ptCount val="3"/>
                <c:pt idx="0">
                  <c:v>Under 18</c:v>
                </c:pt>
                <c:pt idx="1">
                  <c:v>18-34</c:v>
                </c:pt>
                <c:pt idx="2">
                  <c:v>over 34</c:v>
                </c:pt>
              </c:strCache>
            </c:strRef>
          </c:cat>
          <c:val>
            <c:numRef>
              <c:f>'Forma iš 1 atsakymų (3)'!$M$29:$M$31</c:f>
              <c:numCache>
                <c:formatCode>0%</c:formatCode>
                <c:ptCount val="3"/>
                <c:pt idx="0" formatCode="0.0%">
                  <c:v>0.17073170731707318</c:v>
                </c:pt>
                <c:pt idx="1">
                  <c:v>0.1702127659574468</c:v>
                </c:pt>
                <c:pt idx="2" formatCode="0.0%">
                  <c:v>0.13333333333333333</c:v>
                </c:pt>
              </c:numCache>
            </c:numRef>
          </c:val>
          <c:extLst>
            <c:ext xmlns:c16="http://schemas.microsoft.com/office/drawing/2014/chart" uri="{C3380CC4-5D6E-409C-BE32-E72D297353CC}">
              <c16:uniqueId val="{00000002-57F0-7549-A1A0-30CE0E8507E2}"/>
            </c:ext>
          </c:extLst>
        </c:ser>
        <c:dLbls>
          <c:dLblPos val="outEnd"/>
          <c:showLegendKey val="0"/>
          <c:showVal val="1"/>
          <c:showCatName val="0"/>
          <c:showSerName val="0"/>
          <c:showPercent val="0"/>
          <c:showBubbleSize val="0"/>
        </c:dLbls>
        <c:gapWidth val="219"/>
        <c:axId val="1466170256"/>
        <c:axId val="1375601424"/>
      </c:barChart>
      <c:catAx>
        <c:axId val="146617025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Age groups</a:t>
                </a:r>
              </a:p>
            </c:rich>
          </c:tx>
          <c:layout>
            <c:manualLayout>
              <c:xMode val="edge"/>
              <c:yMode val="edge"/>
              <c:x val="1.3033878328903157E-2"/>
              <c:y val="0.30107349081364826"/>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1375601424"/>
        <c:crosses val="autoZero"/>
        <c:auto val="1"/>
        <c:lblAlgn val="ctr"/>
        <c:lblOffset val="100"/>
        <c:noMultiLvlLbl val="0"/>
      </c:catAx>
      <c:valAx>
        <c:axId val="1375601424"/>
        <c:scaling>
          <c:orientation val="minMax"/>
          <c:max val="0.8"/>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1466170256"/>
        <c:crosses val="autoZero"/>
        <c:crossBetween val="between"/>
      </c:valAx>
      <c:spPr>
        <a:noFill/>
        <a:ln>
          <a:noFill/>
        </a:ln>
        <a:effectLst/>
      </c:spPr>
    </c:plotArea>
    <c:legend>
      <c:legendPos val="b"/>
      <c:layout>
        <c:manualLayout>
          <c:xMode val="edge"/>
          <c:yMode val="edge"/>
          <c:x val="9.7847490991592151E-2"/>
          <c:y val="0.80151873061321877"/>
          <c:w val="0.76616942479647676"/>
          <c:h val="0.1757539966595084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defRPr>
      </a:pPr>
      <a:endParaRPr lang="en-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b="1"/>
              <a:t>Technology impact on sleep</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LT"/>
        </a:p>
      </c:txPr>
    </c:title>
    <c:autoTitleDeleted val="0"/>
    <c:plotArea>
      <c:layout/>
      <c:barChart>
        <c:barDir val="bar"/>
        <c:grouping val="stacked"/>
        <c:varyColors val="0"/>
        <c:ser>
          <c:idx val="0"/>
          <c:order val="0"/>
          <c:tx>
            <c:strRef>
              <c:f>'Forma iš 1 atsakymų (4)'!$H$3</c:f>
              <c:strCache>
                <c:ptCount val="1"/>
                <c:pt idx="0">
                  <c:v>1</c:v>
                </c:pt>
              </c:strCache>
            </c:strRef>
          </c:tx>
          <c:spPr>
            <a:solidFill>
              <a:srgbClr val="00E5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(4)'!$G$4:$G$6</c:f>
              <c:strCache>
                <c:ptCount val="3"/>
                <c:pt idx="0">
                  <c:v>Under 18</c:v>
                </c:pt>
                <c:pt idx="1">
                  <c:v>18-34</c:v>
                </c:pt>
                <c:pt idx="2">
                  <c:v>over 34</c:v>
                </c:pt>
              </c:strCache>
            </c:strRef>
          </c:cat>
          <c:val>
            <c:numRef>
              <c:f>'Forma iš 1 atsakymų (4)'!$H$4:$H$6</c:f>
              <c:numCache>
                <c:formatCode>0.0%</c:formatCode>
                <c:ptCount val="3"/>
                <c:pt idx="0" formatCode="0%">
                  <c:v>0</c:v>
                </c:pt>
                <c:pt idx="1">
                  <c:v>3.2967032967032968E-2</c:v>
                </c:pt>
                <c:pt idx="2" formatCode="0%">
                  <c:v>0.2</c:v>
                </c:pt>
              </c:numCache>
            </c:numRef>
          </c:val>
          <c:extLst>
            <c:ext xmlns:c16="http://schemas.microsoft.com/office/drawing/2014/chart" uri="{C3380CC4-5D6E-409C-BE32-E72D297353CC}">
              <c16:uniqueId val="{00000000-009C-4D4C-ADC8-C4EEE1246E7D}"/>
            </c:ext>
          </c:extLst>
        </c:ser>
        <c:ser>
          <c:idx val="1"/>
          <c:order val="1"/>
          <c:tx>
            <c:strRef>
              <c:f>'Forma iš 1 atsakymų (4)'!$I$3</c:f>
              <c:strCache>
                <c:ptCount val="1"/>
                <c:pt idx="0">
                  <c:v>2</c:v>
                </c:pt>
              </c:strCache>
            </c:strRef>
          </c:tx>
          <c:spPr>
            <a:solidFill>
              <a:srgbClr val="00BAC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(4)'!$G$4:$G$6</c:f>
              <c:strCache>
                <c:ptCount val="3"/>
                <c:pt idx="0">
                  <c:v>Under 18</c:v>
                </c:pt>
                <c:pt idx="1">
                  <c:v>18-34</c:v>
                </c:pt>
                <c:pt idx="2">
                  <c:v>over 34</c:v>
                </c:pt>
              </c:strCache>
            </c:strRef>
          </c:cat>
          <c:val>
            <c:numRef>
              <c:f>'Forma iš 1 atsakymų (4)'!$I$4:$I$6</c:f>
              <c:numCache>
                <c:formatCode>0.0%</c:formatCode>
                <c:ptCount val="3"/>
                <c:pt idx="0">
                  <c:v>0.18181818181818182</c:v>
                </c:pt>
                <c:pt idx="1">
                  <c:v>9.8901098901098897E-2</c:v>
                </c:pt>
                <c:pt idx="2">
                  <c:v>0.16666666666666666</c:v>
                </c:pt>
              </c:numCache>
            </c:numRef>
          </c:val>
          <c:extLst>
            <c:ext xmlns:c16="http://schemas.microsoft.com/office/drawing/2014/chart" uri="{C3380CC4-5D6E-409C-BE32-E72D297353CC}">
              <c16:uniqueId val="{00000001-009C-4D4C-ADC8-C4EEE1246E7D}"/>
            </c:ext>
          </c:extLst>
        </c:ser>
        <c:ser>
          <c:idx val="2"/>
          <c:order val="2"/>
          <c:tx>
            <c:strRef>
              <c:f>'Forma iš 1 atsakymų (4)'!$J$3</c:f>
              <c:strCache>
                <c:ptCount val="1"/>
                <c:pt idx="0">
                  <c:v>3</c:v>
                </c:pt>
              </c:strCache>
            </c:strRef>
          </c:tx>
          <c:spPr>
            <a:solidFill>
              <a:srgbClr val="0091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(4)'!$G$4:$G$6</c:f>
              <c:strCache>
                <c:ptCount val="3"/>
                <c:pt idx="0">
                  <c:v>Under 18</c:v>
                </c:pt>
                <c:pt idx="1">
                  <c:v>18-34</c:v>
                </c:pt>
                <c:pt idx="2">
                  <c:v>over 34</c:v>
                </c:pt>
              </c:strCache>
            </c:strRef>
          </c:cat>
          <c:val>
            <c:numRef>
              <c:f>'Forma iš 1 atsakymų (4)'!$J$4:$J$6</c:f>
              <c:numCache>
                <c:formatCode>0%</c:formatCode>
                <c:ptCount val="3"/>
                <c:pt idx="0" formatCode="0.0%">
                  <c:v>0.34090909090909088</c:v>
                </c:pt>
                <c:pt idx="1">
                  <c:v>0.32967032967032966</c:v>
                </c:pt>
                <c:pt idx="2" formatCode="0.0%">
                  <c:v>0.43333333333333335</c:v>
                </c:pt>
              </c:numCache>
            </c:numRef>
          </c:val>
          <c:extLst>
            <c:ext xmlns:c16="http://schemas.microsoft.com/office/drawing/2014/chart" uri="{C3380CC4-5D6E-409C-BE32-E72D297353CC}">
              <c16:uniqueId val="{00000002-009C-4D4C-ADC8-C4EEE1246E7D}"/>
            </c:ext>
          </c:extLst>
        </c:ser>
        <c:ser>
          <c:idx val="3"/>
          <c:order val="3"/>
          <c:tx>
            <c:strRef>
              <c:f>'Forma iš 1 atsakymų (4)'!$K$3</c:f>
              <c:strCache>
                <c:ptCount val="1"/>
                <c:pt idx="0">
                  <c:v>4</c:v>
                </c:pt>
              </c:strCache>
            </c:strRef>
          </c:tx>
          <c:spPr>
            <a:solidFill>
              <a:srgbClr val="06606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(4)'!$G$4:$G$6</c:f>
              <c:strCache>
                <c:ptCount val="3"/>
                <c:pt idx="0">
                  <c:v>Under 18</c:v>
                </c:pt>
                <c:pt idx="1">
                  <c:v>18-34</c:v>
                </c:pt>
                <c:pt idx="2">
                  <c:v>over 34</c:v>
                </c:pt>
              </c:strCache>
            </c:strRef>
          </c:cat>
          <c:val>
            <c:numRef>
              <c:f>'Forma iš 1 atsakymų (4)'!$K$4:$K$6</c:f>
              <c:numCache>
                <c:formatCode>0.0%</c:formatCode>
                <c:ptCount val="3"/>
                <c:pt idx="0">
                  <c:v>0.38636363636363635</c:v>
                </c:pt>
                <c:pt idx="1">
                  <c:v>0.34065934065934067</c:v>
                </c:pt>
                <c:pt idx="2" formatCode="0%">
                  <c:v>0.1</c:v>
                </c:pt>
              </c:numCache>
            </c:numRef>
          </c:val>
          <c:extLst>
            <c:ext xmlns:c16="http://schemas.microsoft.com/office/drawing/2014/chart" uri="{C3380CC4-5D6E-409C-BE32-E72D297353CC}">
              <c16:uniqueId val="{00000003-009C-4D4C-ADC8-C4EEE1246E7D}"/>
            </c:ext>
          </c:extLst>
        </c:ser>
        <c:ser>
          <c:idx val="4"/>
          <c:order val="4"/>
          <c:tx>
            <c:strRef>
              <c:f>'Forma iš 1 atsakymų (4)'!$L$3</c:f>
              <c:strCache>
                <c:ptCount val="1"/>
                <c:pt idx="0">
                  <c:v>5</c:v>
                </c:pt>
              </c:strCache>
            </c:strRef>
          </c:tx>
          <c:spPr>
            <a:solidFill>
              <a:srgbClr val="05333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(4)'!$G$4:$G$6</c:f>
              <c:strCache>
                <c:ptCount val="3"/>
                <c:pt idx="0">
                  <c:v>Under 18</c:v>
                </c:pt>
                <c:pt idx="1">
                  <c:v>18-34</c:v>
                </c:pt>
                <c:pt idx="2">
                  <c:v>over 34</c:v>
                </c:pt>
              </c:strCache>
            </c:strRef>
          </c:cat>
          <c:val>
            <c:numRef>
              <c:f>'Forma iš 1 atsakymų (4)'!$L$4:$L$6</c:f>
              <c:numCache>
                <c:formatCode>0.0%</c:formatCode>
                <c:ptCount val="3"/>
                <c:pt idx="0">
                  <c:v>9.0909090909090912E-2</c:v>
                </c:pt>
                <c:pt idx="1">
                  <c:v>0.19780219780219779</c:v>
                </c:pt>
                <c:pt idx="2" formatCode="0%">
                  <c:v>0.1</c:v>
                </c:pt>
              </c:numCache>
            </c:numRef>
          </c:val>
          <c:extLst>
            <c:ext xmlns:c16="http://schemas.microsoft.com/office/drawing/2014/chart" uri="{C3380CC4-5D6E-409C-BE32-E72D297353CC}">
              <c16:uniqueId val="{00000004-009C-4D4C-ADC8-C4EEE1246E7D}"/>
            </c:ext>
          </c:extLst>
        </c:ser>
        <c:dLbls>
          <c:dLblPos val="ctr"/>
          <c:showLegendKey val="0"/>
          <c:showVal val="1"/>
          <c:showCatName val="0"/>
          <c:showSerName val="0"/>
          <c:showPercent val="0"/>
          <c:showBubbleSize val="0"/>
        </c:dLbls>
        <c:gapWidth val="219"/>
        <c:overlap val="100"/>
        <c:axId val="337123760"/>
        <c:axId val="337159488"/>
      </c:barChart>
      <c:catAx>
        <c:axId val="337123760"/>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Age groups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337159488"/>
        <c:crosses val="autoZero"/>
        <c:auto val="1"/>
        <c:lblAlgn val="ctr"/>
        <c:lblOffset val="100"/>
        <c:noMultiLvlLbl val="0"/>
      </c:catAx>
      <c:valAx>
        <c:axId val="33715948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337123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defRPr>
      </a:pPr>
      <a:endParaRPr lang="en-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en-GB" b="1"/>
              <a:t>Would you like to change your bedtime routine?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en-LT"/>
        </a:p>
      </c:txPr>
    </c:title>
    <c:autoTitleDeleted val="0"/>
    <c:plotArea>
      <c:layout/>
      <c:barChart>
        <c:barDir val="bar"/>
        <c:grouping val="stacked"/>
        <c:varyColors val="0"/>
        <c:ser>
          <c:idx val="0"/>
          <c:order val="0"/>
          <c:tx>
            <c:strRef>
              <c:f>'Forma iš 1 atsakymų (4)'!$H$31</c:f>
              <c:strCache>
                <c:ptCount val="1"/>
                <c:pt idx="0">
                  <c:v>Yes</c:v>
                </c:pt>
              </c:strCache>
            </c:strRef>
          </c:tx>
          <c:spPr>
            <a:solidFill>
              <a:srgbClr val="0B1C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(4)'!$G$32:$G$34</c:f>
              <c:strCache>
                <c:ptCount val="3"/>
                <c:pt idx="0">
                  <c:v>Under 18</c:v>
                </c:pt>
                <c:pt idx="1">
                  <c:v>18-34</c:v>
                </c:pt>
                <c:pt idx="2">
                  <c:v>over 34</c:v>
                </c:pt>
              </c:strCache>
            </c:strRef>
          </c:cat>
          <c:val>
            <c:numRef>
              <c:f>'Forma iš 1 atsakymų (4)'!$H$32:$H$34</c:f>
              <c:numCache>
                <c:formatCode>0.0%</c:formatCode>
                <c:ptCount val="3"/>
                <c:pt idx="0">
                  <c:v>0.65909090909090906</c:v>
                </c:pt>
                <c:pt idx="1">
                  <c:v>0.75824175824175821</c:v>
                </c:pt>
                <c:pt idx="2" formatCode="0%">
                  <c:v>0.4</c:v>
                </c:pt>
              </c:numCache>
            </c:numRef>
          </c:val>
          <c:extLst>
            <c:ext xmlns:c16="http://schemas.microsoft.com/office/drawing/2014/chart" uri="{C3380CC4-5D6E-409C-BE32-E72D297353CC}">
              <c16:uniqueId val="{00000000-BC3C-4E41-B9CD-34099ABE0D5C}"/>
            </c:ext>
          </c:extLst>
        </c:ser>
        <c:ser>
          <c:idx val="1"/>
          <c:order val="1"/>
          <c:tx>
            <c:strRef>
              <c:f>'Forma iš 1 atsakymų (4)'!$I$31</c:f>
              <c:strCache>
                <c:ptCount val="1"/>
                <c:pt idx="0">
                  <c:v>No</c:v>
                </c:pt>
              </c:strCache>
            </c:strRef>
          </c:tx>
          <c:spPr>
            <a:solidFill>
              <a:srgbClr val="00CBD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L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'Forma iš 1 atsakymų (4)'!$G$32:$G$34</c:f>
              <c:strCache>
                <c:ptCount val="3"/>
                <c:pt idx="0">
                  <c:v>Under 18</c:v>
                </c:pt>
                <c:pt idx="1">
                  <c:v>18-34</c:v>
                </c:pt>
                <c:pt idx="2">
                  <c:v>over 34</c:v>
                </c:pt>
              </c:strCache>
            </c:strRef>
          </c:cat>
          <c:val>
            <c:numRef>
              <c:f>'Forma iš 1 atsakymų (4)'!$I$32:$I$34</c:f>
              <c:numCache>
                <c:formatCode>0.0%</c:formatCode>
                <c:ptCount val="3"/>
                <c:pt idx="0">
                  <c:v>0.34090909090909088</c:v>
                </c:pt>
                <c:pt idx="1">
                  <c:v>0.24175824175824176</c:v>
                </c:pt>
                <c:pt idx="2" formatCode="0%">
                  <c:v>0.6</c:v>
                </c:pt>
              </c:numCache>
            </c:numRef>
          </c:val>
          <c:extLst>
            <c:ext xmlns:c16="http://schemas.microsoft.com/office/drawing/2014/chart" uri="{C3380CC4-5D6E-409C-BE32-E72D297353CC}">
              <c16:uniqueId val="{00000001-BC3C-4E41-B9CD-34099ABE0D5C}"/>
            </c:ext>
          </c:extLst>
        </c:ser>
        <c:dLbls>
          <c:dLblPos val="ctr"/>
          <c:showLegendKey val="0"/>
          <c:showVal val="1"/>
          <c:showCatName val="0"/>
          <c:showSerName val="0"/>
          <c:showPercent val="0"/>
          <c:showBubbleSize val="0"/>
        </c:dLbls>
        <c:gapWidth val="219"/>
        <c:overlap val="100"/>
        <c:axId val="1453747456"/>
        <c:axId val="1453703808"/>
      </c:barChart>
      <c:catAx>
        <c:axId val="145374745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a:t>Age groups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1453703808"/>
        <c:crosses val="autoZero"/>
        <c:auto val="1"/>
        <c:lblAlgn val="ctr"/>
        <c:lblOffset val="100"/>
        <c:noMultiLvlLbl val="0"/>
      </c:catAx>
      <c:valAx>
        <c:axId val="1453703808"/>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crossAx val="145374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LT"/>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200">
          <a:solidFill>
            <a:schemeClr val="tx1"/>
          </a:solidFill>
        </a:defRPr>
      </a:pPr>
      <a:endParaRPr lang="en-L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1016000</xdr:colOff>
      <xdr:row>9</xdr:row>
      <xdr:rowOff>0</xdr:rowOff>
    </xdr:from>
    <xdr:to>
      <xdr:col>11</xdr:col>
      <xdr:colOff>12700</xdr:colOff>
      <xdr:row>25</xdr:row>
      <xdr:rowOff>0</xdr:rowOff>
    </xdr:to>
    <xdr:graphicFrame macro="">
      <xdr:nvGraphicFramePr>
        <xdr:cNvPr id="9" name="Chart 8">
          <a:extLst>
            <a:ext uri="{FF2B5EF4-FFF2-40B4-BE49-F238E27FC236}">
              <a16:creationId xmlns:a16="http://schemas.microsoft.com/office/drawing/2014/main" id="{942478C7-6AB4-5495-20EF-73A1EABDB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34</xdr:row>
      <xdr:rowOff>12700</xdr:rowOff>
    </xdr:from>
    <xdr:to>
      <xdr:col>11</xdr:col>
      <xdr:colOff>38100</xdr:colOff>
      <xdr:row>54</xdr:row>
      <xdr:rowOff>38100</xdr:rowOff>
    </xdr:to>
    <xdr:graphicFrame macro="">
      <xdr:nvGraphicFramePr>
        <xdr:cNvPr id="17" name="Chart 16">
          <a:extLst>
            <a:ext uri="{FF2B5EF4-FFF2-40B4-BE49-F238E27FC236}">
              <a16:creationId xmlns:a16="http://schemas.microsoft.com/office/drawing/2014/main" id="{C66B0259-6DE4-A845-9279-6DDB627EF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6350</xdr:colOff>
      <xdr:row>9</xdr:row>
      <xdr:rowOff>12700</xdr:rowOff>
    </xdr:from>
    <xdr:to>
      <xdr:col>12</xdr:col>
      <xdr:colOff>774700</xdr:colOff>
      <xdr:row>25</xdr:row>
      <xdr:rowOff>12700</xdr:rowOff>
    </xdr:to>
    <xdr:graphicFrame macro="">
      <xdr:nvGraphicFramePr>
        <xdr:cNvPr id="6" name="Chart 5">
          <a:extLst>
            <a:ext uri="{FF2B5EF4-FFF2-40B4-BE49-F238E27FC236}">
              <a16:creationId xmlns:a16="http://schemas.microsoft.com/office/drawing/2014/main" id="{E6503F6F-9295-3565-2D36-35C85A325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33</xdr:row>
      <xdr:rowOff>12700</xdr:rowOff>
    </xdr:from>
    <xdr:to>
      <xdr:col>12</xdr:col>
      <xdr:colOff>1409700</xdr:colOff>
      <xdr:row>51</xdr:row>
      <xdr:rowOff>12700</xdr:rowOff>
    </xdr:to>
    <xdr:graphicFrame macro="">
      <xdr:nvGraphicFramePr>
        <xdr:cNvPr id="9" name="Chart 8">
          <a:extLst>
            <a:ext uri="{FF2B5EF4-FFF2-40B4-BE49-F238E27FC236}">
              <a16:creationId xmlns:a16="http://schemas.microsoft.com/office/drawing/2014/main" id="{ADEEB88D-426D-F74E-B186-294BDC4A9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1346200</xdr:colOff>
      <xdr:row>9</xdr:row>
      <xdr:rowOff>25400</xdr:rowOff>
    </xdr:from>
    <xdr:to>
      <xdr:col>11</xdr:col>
      <xdr:colOff>114300</xdr:colOff>
      <xdr:row>25</xdr:row>
      <xdr:rowOff>38100</xdr:rowOff>
    </xdr:to>
    <xdr:graphicFrame macro="">
      <xdr:nvGraphicFramePr>
        <xdr:cNvPr id="5" name="Chart 4">
          <a:extLst>
            <a:ext uri="{FF2B5EF4-FFF2-40B4-BE49-F238E27FC236}">
              <a16:creationId xmlns:a16="http://schemas.microsoft.com/office/drawing/2014/main" id="{47274256-AB9A-76D4-EF2C-F0A3654C3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1428750</xdr:colOff>
      <xdr:row>36</xdr:row>
      <xdr:rowOff>12700</xdr:rowOff>
    </xdr:from>
    <xdr:to>
      <xdr:col>10</xdr:col>
      <xdr:colOff>698500</xdr:colOff>
      <xdr:row>54</xdr:row>
      <xdr:rowOff>12700</xdr:rowOff>
    </xdr:to>
    <xdr:graphicFrame macro="">
      <xdr:nvGraphicFramePr>
        <xdr:cNvPr id="6" name="Chart 5">
          <a:extLst>
            <a:ext uri="{FF2B5EF4-FFF2-40B4-BE49-F238E27FC236}">
              <a16:creationId xmlns:a16="http://schemas.microsoft.com/office/drawing/2014/main" id="{1D9A1D6D-721D-0262-D80D-0BA7C87F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66"/>
  <sheetViews>
    <sheetView topLeftCell="AB1" workbookViewId="0">
      <pane ySplit="1" topLeftCell="A2" activePane="bottomLeft" state="frozen"/>
      <selection pane="bottomLeft" activeCell="B3" sqref="B3"/>
    </sheetView>
  </sheetViews>
  <sheetFormatPr baseColWidth="10" defaultColWidth="12.6640625" defaultRowHeight="15.75" customHeight="1" x14ac:dyDescent="0.15"/>
  <cols>
    <col min="1" max="27" width="18.83203125" customWidth="1"/>
  </cols>
  <sheetData>
    <row r="1" spans="1:21" ht="15.75" customHeight="1" x14ac:dyDescent="0.15">
      <c r="A1" s="1" t="s">
        <v>0</v>
      </c>
      <c r="B1" s="1" t="s">
        <v>1</v>
      </c>
      <c r="C1" s="1" t="s">
        <v>2</v>
      </c>
      <c r="D1" s="1" t="s">
        <v>3</v>
      </c>
      <c r="E1" s="1" t="s">
        <v>4</v>
      </c>
      <c r="F1" s="1" t="s">
        <v>5</v>
      </c>
      <c r="G1" s="1" t="s">
        <v>6</v>
      </c>
      <c r="H1" s="1" t="s">
        <v>7</v>
      </c>
      <c r="I1" s="1" t="s">
        <v>8</v>
      </c>
      <c r="J1" s="1" t="s">
        <v>9</v>
      </c>
      <c r="K1" s="1" t="s">
        <v>10</v>
      </c>
      <c r="L1" s="1" t="s">
        <v>11</v>
      </c>
      <c r="M1" s="1" t="s">
        <v>10</v>
      </c>
      <c r="N1" s="1" t="s">
        <v>12</v>
      </c>
      <c r="O1" s="1" t="s">
        <v>13</v>
      </c>
      <c r="P1" s="1" t="s">
        <v>14</v>
      </c>
      <c r="Q1" s="1" t="s">
        <v>15</v>
      </c>
      <c r="R1" s="1" t="s">
        <v>16</v>
      </c>
      <c r="S1" s="1" t="s">
        <v>17</v>
      </c>
      <c r="T1" s="1" t="s">
        <v>18</v>
      </c>
      <c r="U1" s="1" t="s">
        <v>19</v>
      </c>
    </row>
    <row r="2" spans="1:21" ht="15.75" customHeight="1" x14ac:dyDescent="0.15">
      <c r="A2" s="2">
        <v>45249.684851284721</v>
      </c>
      <c r="B2" s="1" t="s">
        <v>20</v>
      </c>
      <c r="C2" s="1" t="s">
        <v>21</v>
      </c>
      <c r="D2" s="1" t="s">
        <v>22</v>
      </c>
      <c r="F2" s="1" t="s">
        <v>23</v>
      </c>
      <c r="G2" s="1" t="s">
        <v>24</v>
      </c>
      <c r="H2" s="1" t="s">
        <v>25</v>
      </c>
      <c r="I2" s="1" t="s">
        <v>26</v>
      </c>
      <c r="J2" s="1" t="s">
        <v>27</v>
      </c>
      <c r="K2" s="1" t="s">
        <v>28</v>
      </c>
      <c r="L2" s="1" t="s">
        <v>29</v>
      </c>
      <c r="N2" s="1" t="s">
        <v>30</v>
      </c>
      <c r="O2" s="1" t="s">
        <v>31</v>
      </c>
      <c r="P2" s="1" t="s">
        <v>32</v>
      </c>
      <c r="Q2" s="1" t="s">
        <v>33</v>
      </c>
      <c r="R2" s="1" t="s">
        <v>29</v>
      </c>
      <c r="S2" s="1" t="s">
        <v>34</v>
      </c>
      <c r="T2" s="1">
        <v>5</v>
      </c>
      <c r="U2" s="1" t="s">
        <v>27</v>
      </c>
    </row>
    <row r="3" spans="1:21" ht="15.75" customHeight="1" x14ac:dyDescent="0.15">
      <c r="A3" s="2">
        <v>45249.691583240739</v>
      </c>
      <c r="B3" s="1" t="s">
        <v>20</v>
      </c>
      <c r="C3" s="1" t="s">
        <v>21</v>
      </c>
      <c r="D3" s="1" t="s">
        <v>22</v>
      </c>
      <c r="F3" s="1" t="s">
        <v>23</v>
      </c>
      <c r="G3" s="1" t="s">
        <v>35</v>
      </c>
      <c r="H3" s="1" t="s">
        <v>36</v>
      </c>
      <c r="I3" s="1" t="s">
        <v>26</v>
      </c>
      <c r="J3" s="1" t="s">
        <v>27</v>
      </c>
      <c r="K3" s="1" t="s">
        <v>37</v>
      </c>
      <c r="L3" s="1" t="s">
        <v>29</v>
      </c>
      <c r="N3" s="1" t="s">
        <v>38</v>
      </c>
      <c r="O3" s="1" t="s">
        <v>39</v>
      </c>
      <c r="P3" s="1" t="s">
        <v>32</v>
      </c>
      <c r="Q3" s="1" t="s">
        <v>33</v>
      </c>
      <c r="R3" s="1" t="s">
        <v>29</v>
      </c>
      <c r="S3" s="1" t="s">
        <v>40</v>
      </c>
      <c r="T3" s="1">
        <v>5</v>
      </c>
      <c r="U3" s="1" t="s">
        <v>27</v>
      </c>
    </row>
    <row r="4" spans="1:21" ht="15.75" customHeight="1" x14ac:dyDescent="0.15">
      <c r="A4" s="2">
        <v>45249.8512237963</v>
      </c>
      <c r="B4" s="1" t="s">
        <v>41</v>
      </c>
      <c r="C4" s="1" t="s">
        <v>21</v>
      </c>
      <c r="D4" s="1" t="s">
        <v>42</v>
      </c>
      <c r="F4" s="1" t="s">
        <v>23</v>
      </c>
      <c r="G4" s="1" t="s">
        <v>43</v>
      </c>
      <c r="H4" s="1" t="s">
        <v>44</v>
      </c>
      <c r="I4" s="1" t="s">
        <v>26</v>
      </c>
      <c r="J4" s="1" t="s">
        <v>27</v>
      </c>
      <c r="K4" s="1" t="s">
        <v>45</v>
      </c>
      <c r="L4" s="1" t="s">
        <v>29</v>
      </c>
      <c r="N4" s="1" t="s">
        <v>38</v>
      </c>
      <c r="O4" s="1" t="s">
        <v>46</v>
      </c>
      <c r="P4" s="1" t="s">
        <v>32</v>
      </c>
      <c r="Q4" s="1" t="s">
        <v>33</v>
      </c>
      <c r="R4" s="1" t="s">
        <v>29</v>
      </c>
      <c r="S4" s="1" t="s">
        <v>40</v>
      </c>
      <c r="T4" s="1">
        <v>3</v>
      </c>
      <c r="U4" s="1" t="s">
        <v>27</v>
      </c>
    </row>
    <row r="5" spans="1:21" ht="15.75" customHeight="1" x14ac:dyDescent="0.15">
      <c r="A5" s="2">
        <v>45249.879953842596</v>
      </c>
      <c r="B5" s="1" t="s">
        <v>41</v>
      </c>
      <c r="C5" s="1" t="s">
        <v>21</v>
      </c>
      <c r="D5" s="1" t="s">
        <v>42</v>
      </c>
      <c r="F5" s="1" t="s">
        <v>47</v>
      </c>
      <c r="G5" s="1" t="s">
        <v>48</v>
      </c>
      <c r="H5" s="1" t="s">
        <v>49</v>
      </c>
      <c r="I5" s="1" t="s">
        <v>26</v>
      </c>
      <c r="J5" s="1" t="s">
        <v>29</v>
      </c>
      <c r="L5" s="1" t="s">
        <v>29</v>
      </c>
      <c r="N5" s="1" t="s">
        <v>38</v>
      </c>
      <c r="O5" s="1" t="s">
        <v>39</v>
      </c>
      <c r="P5" s="1" t="s">
        <v>50</v>
      </c>
      <c r="Q5" s="1" t="s">
        <v>33</v>
      </c>
      <c r="R5" s="1" t="s">
        <v>29</v>
      </c>
      <c r="S5" s="1" t="s">
        <v>40</v>
      </c>
      <c r="T5" s="1">
        <v>3</v>
      </c>
      <c r="U5" s="1" t="s">
        <v>29</v>
      </c>
    </row>
    <row r="6" spans="1:21" ht="15.75" customHeight="1" x14ac:dyDescent="0.15">
      <c r="A6" s="2">
        <v>45249.881849537036</v>
      </c>
      <c r="B6" s="1" t="s">
        <v>41</v>
      </c>
      <c r="C6" s="1" t="s">
        <v>21</v>
      </c>
      <c r="D6" s="1" t="s">
        <v>51</v>
      </c>
      <c r="F6" s="1" t="s">
        <v>47</v>
      </c>
      <c r="G6" s="1" t="s">
        <v>48</v>
      </c>
      <c r="H6" s="1" t="s">
        <v>49</v>
      </c>
      <c r="I6" s="1" t="s">
        <v>52</v>
      </c>
      <c r="J6" s="1" t="s">
        <v>29</v>
      </c>
      <c r="L6" s="1" t="s">
        <v>29</v>
      </c>
      <c r="N6" s="1" t="s">
        <v>38</v>
      </c>
      <c r="O6" s="1" t="s">
        <v>46</v>
      </c>
      <c r="P6" s="1" t="s">
        <v>32</v>
      </c>
      <c r="Q6" s="1" t="s">
        <v>53</v>
      </c>
      <c r="R6" s="1" t="s">
        <v>27</v>
      </c>
      <c r="S6" s="1" t="s">
        <v>54</v>
      </c>
      <c r="T6" s="1">
        <v>1</v>
      </c>
      <c r="U6" s="1" t="s">
        <v>29</v>
      </c>
    </row>
    <row r="7" spans="1:21" ht="15.75" customHeight="1" x14ac:dyDescent="0.15">
      <c r="A7" s="2">
        <v>45249.883503969904</v>
      </c>
      <c r="B7" s="1" t="s">
        <v>55</v>
      </c>
      <c r="C7" s="1" t="s">
        <v>56</v>
      </c>
      <c r="D7" s="1" t="s">
        <v>55</v>
      </c>
      <c r="F7" s="1" t="s">
        <v>57</v>
      </c>
      <c r="G7" s="1" t="s">
        <v>58</v>
      </c>
      <c r="H7" s="1" t="s">
        <v>59</v>
      </c>
      <c r="I7" s="1" t="s">
        <v>26</v>
      </c>
      <c r="J7" s="1" t="s">
        <v>29</v>
      </c>
      <c r="L7" s="1" t="s">
        <v>29</v>
      </c>
      <c r="N7" s="1" t="s">
        <v>38</v>
      </c>
      <c r="O7" s="1" t="s">
        <v>46</v>
      </c>
      <c r="P7" s="1" t="s">
        <v>50</v>
      </c>
      <c r="Q7" s="1" t="s">
        <v>33</v>
      </c>
      <c r="R7" s="1" t="s">
        <v>27</v>
      </c>
      <c r="S7" s="1" t="s">
        <v>54</v>
      </c>
      <c r="T7" s="1">
        <v>2</v>
      </c>
      <c r="U7" s="1" t="s">
        <v>29</v>
      </c>
    </row>
    <row r="8" spans="1:21" ht="15.75" customHeight="1" x14ac:dyDescent="0.15">
      <c r="A8" s="2">
        <v>45249.885399872685</v>
      </c>
      <c r="B8" s="1" t="s">
        <v>20</v>
      </c>
      <c r="C8" s="1" t="s">
        <v>21</v>
      </c>
      <c r="D8" s="1" t="s">
        <v>60</v>
      </c>
      <c r="E8" s="1" t="s">
        <v>61</v>
      </c>
      <c r="F8" s="1" t="s">
        <v>23</v>
      </c>
      <c r="G8" s="1" t="s">
        <v>58</v>
      </c>
      <c r="H8" s="1" t="s">
        <v>62</v>
      </c>
      <c r="I8" s="1" t="s">
        <v>63</v>
      </c>
      <c r="J8" s="1" t="s">
        <v>29</v>
      </c>
      <c r="L8" s="1" t="s">
        <v>29</v>
      </c>
      <c r="N8" s="1" t="s">
        <v>30</v>
      </c>
      <c r="O8" s="1" t="s">
        <v>31</v>
      </c>
      <c r="P8" s="1" t="s">
        <v>64</v>
      </c>
      <c r="Q8" s="1" t="s">
        <v>53</v>
      </c>
      <c r="R8" s="1" t="s">
        <v>27</v>
      </c>
      <c r="S8" s="1" t="s">
        <v>54</v>
      </c>
      <c r="T8" s="1">
        <v>1</v>
      </c>
      <c r="U8" s="1" t="s">
        <v>29</v>
      </c>
    </row>
    <row r="9" spans="1:21" ht="15.75" customHeight="1" x14ac:dyDescent="0.15">
      <c r="A9" s="2">
        <v>45249.897932569445</v>
      </c>
      <c r="B9" s="1" t="s">
        <v>20</v>
      </c>
      <c r="C9" s="1" t="s">
        <v>21</v>
      </c>
      <c r="D9" s="1" t="s">
        <v>51</v>
      </c>
      <c r="F9" s="1" t="s">
        <v>23</v>
      </c>
      <c r="G9" s="1" t="s">
        <v>43</v>
      </c>
      <c r="H9" s="1" t="s">
        <v>65</v>
      </c>
      <c r="I9" s="1" t="s">
        <v>26</v>
      </c>
      <c r="J9" s="1" t="s">
        <v>29</v>
      </c>
      <c r="L9" s="1" t="s">
        <v>29</v>
      </c>
      <c r="N9" s="1" t="s">
        <v>66</v>
      </c>
      <c r="O9" s="1" t="s">
        <v>46</v>
      </c>
      <c r="P9" s="1" t="s">
        <v>64</v>
      </c>
      <c r="Q9" s="1" t="s">
        <v>33</v>
      </c>
      <c r="R9" s="1" t="s">
        <v>29</v>
      </c>
      <c r="S9" s="1" t="s">
        <v>67</v>
      </c>
      <c r="T9" s="1">
        <v>4</v>
      </c>
      <c r="U9" s="1" t="s">
        <v>27</v>
      </c>
    </row>
    <row r="10" spans="1:21" ht="15.75" customHeight="1" x14ac:dyDescent="0.15">
      <c r="A10" s="2">
        <v>45250.468901736109</v>
      </c>
      <c r="B10" s="1" t="s">
        <v>41</v>
      </c>
      <c r="C10" s="1" t="s">
        <v>21</v>
      </c>
      <c r="D10" s="1" t="s">
        <v>60</v>
      </c>
      <c r="E10" s="1" t="s">
        <v>68</v>
      </c>
      <c r="F10" s="1" t="s">
        <v>69</v>
      </c>
      <c r="G10" s="1" t="s">
        <v>35</v>
      </c>
      <c r="H10" s="1" t="s">
        <v>70</v>
      </c>
      <c r="I10" s="1" t="s">
        <v>26</v>
      </c>
      <c r="J10" s="1" t="s">
        <v>29</v>
      </c>
      <c r="L10" s="1" t="s">
        <v>29</v>
      </c>
      <c r="N10" s="1" t="s">
        <v>30</v>
      </c>
      <c r="O10" s="1" t="s">
        <v>71</v>
      </c>
      <c r="P10" s="1" t="s">
        <v>50</v>
      </c>
      <c r="Q10" s="1" t="s">
        <v>33</v>
      </c>
      <c r="R10" s="1" t="s">
        <v>27</v>
      </c>
      <c r="S10" s="1" t="s">
        <v>40</v>
      </c>
      <c r="T10" s="1">
        <v>3</v>
      </c>
      <c r="U10" s="1" t="s">
        <v>27</v>
      </c>
    </row>
    <row r="11" spans="1:21" ht="15.75" customHeight="1" x14ac:dyDescent="0.15">
      <c r="A11" s="2">
        <v>45251.397831516202</v>
      </c>
      <c r="B11" s="1" t="s">
        <v>41</v>
      </c>
      <c r="C11" s="1" t="s">
        <v>72</v>
      </c>
      <c r="D11" s="1" t="s">
        <v>60</v>
      </c>
      <c r="E11" s="1" t="s">
        <v>61</v>
      </c>
      <c r="F11" s="1" t="s">
        <v>69</v>
      </c>
      <c r="G11" s="1" t="s">
        <v>58</v>
      </c>
      <c r="H11" s="1" t="s">
        <v>73</v>
      </c>
      <c r="I11" s="1" t="s">
        <v>63</v>
      </c>
      <c r="J11" s="1" t="s">
        <v>29</v>
      </c>
      <c r="L11" s="1" t="s">
        <v>29</v>
      </c>
      <c r="N11" s="1" t="s">
        <v>30</v>
      </c>
      <c r="O11" s="1" t="s">
        <v>46</v>
      </c>
      <c r="P11" s="1" t="s">
        <v>74</v>
      </c>
      <c r="Q11" s="1" t="s">
        <v>33</v>
      </c>
      <c r="R11" s="1" t="s">
        <v>27</v>
      </c>
      <c r="S11" s="1" t="s">
        <v>54</v>
      </c>
      <c r="T11" s="1">
        <v>1</v>
      </c>
      <c r="U11" s="1" t="s">
        <v>29</v>
      </c>
    </row>
    <row r="12" spans="1:21" ht="15.75" customHeight="1" x14ac:dyDescent="0.15">
      <c r="A12" s="2">
        <v>45251.399566782406</v>
      </c>
      <c r="B12" s="1" t="s">
        <v>41</v>
      </c>
      <c r="C12" s="1" t="s">
        <v>75</v>
      </c>
      <c r="D12" s="1" t="s">
        <v>60</v>
      </c>
      <c r="E12" s="1" t="s">
        <v>68</v>
      </c>
      <c r="F12" s="1" t="s">
        <v>47</v>
      </c>
      <c r="G12" s="1" t="s">
        <v>35</v>
      </c>
      <c r="H12" s="1" t="s">
        <v>44</v>
      </c>
      <c r="I12" s="1" t="s">
        <v>63</v>
      </c>
      <c r="J12" s="1" t="s">
        <v>27</v>
      </c>
      <c r="K12" s="1" t="s">
        <v>76</v>
      </c>
      <c r="L12" s="1" t="s">
        <v>29</v>
      </c>
      <c r="N12" s="1" t="s">
        <v>30</v>
      </c>
      <c r="O12" s="1" t="s">
        <v>31</v>
      </c>
      <c r="P12" s="1" t="s">
        <v>50</v>
      </c>
      <c r="Q12" s="1" t="s">
        <v>53</v>
      </c>
      <c r="R12" s="1" t="s">
        <v>27</v>
      </c>
      <c r="S12" s="1" t="s">
        <v>40</v>
      </c>
      <c r="T12" s="1">
        <v>3</v>
      </c>
      <c r="U12" s="1" t="s">
        <v>27</v>
      </c>
    </row>
    <row r="13" spans="1:21" ht="15.75" customHeight="1" x14ac:dyDescent="0.15">
      <c r="A13" s="2">
        <v>45251.401892511574</v>
      </c>
      <c r="B13" s="1" t="s">
        <v>41</v>
      </c>
      <c r="C13" s="1" t="s">
        <v>77</v>
      </c>
      <c r="D13" s="1" t="s">
        <v>60</v>
      </c>
      <c r="E13" s="1" t="s">
        <v>68</v>
      </c>
      <c r="F13" s="1" t="s">
        <v>47</v>
      </c>
      <c r="G13" s="1" t="s">
        <v>35</v>
      </c>
      <c r="H13" s="1" t="s">
        <v>78</v>
      </c>
      <c r="I13" s="1" t="s">
        <v>63</v>
      </c>
      <c r="J13" s="1" t="s">
        <v>29</v>
      </c>
      <c r="L13" s="1" t="s">
        <v>29</v>
      </c>
      <c r="N13" s="1" t="s">
        <v>30</v>
      </c>
      <c r="O13" s="1" t="s">
        <v>46</v>
      </c>
      <c r="P13" s="1" t="s">
        <v>50</v>
      </c>
      <c r="Q13" s="1" t="s">
        <v>53</v>
      </c>
      <c r="R13" s="1" t="s">
        <v>27</v>
      </c>
      <c r="S13" s="1" t="s">
        <v>54</v>
      </c>
      <c r="T13" s="1">
        <v>3</v>
      </c>
      <c r="U13" s="1" t="s">
        <v>29</v>
      </c>
    </row>
    <row r="14" spans="1:21" ht="15.75" customHeight="1" x14ac:dyDescent="0.15">
      <c r="A14" s="2">
        <v>45251.404358298612</v>
      </c>
      <c r="B14" s="1" t="s">
        <v>20</v>
      </c>
      <c r="C14" s="1" t="s">
        <v>72</v>
      </c>
      <c r="D14" s="1" t="s">
        <v>60</v>
      </c>
      <c r="E14" s="1" t="s">
        <v>68</v>
      </c>
      <c r="F14" s="1" t="s">
        <v>23</v>
      </c>
      <c r="G14" s="1" t="s">
        <v>43</v>
      </c>
      <c r="H14" s="1" t="s">
        <v>79</v>
      </c>
      <c r="I14" s="1" t="s">
        <v>63</v>
      </c>
      <c r="J14" s="1" t="s">
        <v>29</v>
      </c>
      <c r="L14" s="1" t="s">
        <v>27</v>
      </c>
      <c r="M14" s="1" t="s">
        <v>80</v>
      </c>
      <c r="N14" s="1" t="s">
        <v>38</v>
      </c>
      <c r="O14" s="1" t="s">
        <v>31</v>
      </c>
      <c r="P14" s="1" t="s">
        <v>50</v>
      </c>
      <c r="Q14" s="1" t="s">
        <v>53</v>
      </c>
      <c r="R14" s="1" t="s">
        <v>29</v>
      </c>
      <c r="S14" s="1" t="s">
        <v>54</v>
      </c>
      <c r="T14" s="1">
        <v>3</v>
      </c>
      <c r="U14" s="1" t="s">
        <v>27</v>
      </c>
    </row>
    <row r="15" spans="1:21" ht="15.75" customHeight="1" x14ac:dyDescent="0.15">
      <c r="A15" s="2">
        <v>45251.505007673608</v>
      </c>
      <c r="B15" s="1" t="s">
        <v>20</v>
      </c>
      <c r="C15" s="1" t="s">
        <v>21</v>
      </c>
      <c r="D15" s="1" t="s">
        <v>42</v>
      </c>
      <c r="F15" s="1" t="s">
        <v>23</v>
      </c>
      <c r="G15" s="1" t="s">
        <v>43</v>
      </c>
      <c r="H15" s="1" t="s">
        <v>81</v>
      </c>
      <c r="I15" s="1" t="s">
        <v>82</v>
      </c>
      <c r="J15" s="1" t="s">
        <v>29</v>
      </c>
      <c r="L15" s="1" t="s">
        <v>29</v>
      </c>
      <c r="N15" s="1" t="s">
        <v>38</v>
      </c>
      <c r="O15" s="1" t="s">
        <v>46</v>
      </c>
      <c r="P15" s="1" t="s">
        <v>74</v>
      </c>
      <c r="Q15" s="1" t="s">
        <v>33</v>
      </c>
      <c r="R15" s="1" t="s">
        <v>29</v>
      </c>
      <c r="S15" s="1" t="s">
        <v>54</v>
      </c>
      <c r="T15" s="1">
        <v>2</v>
      </c>
      <c r="U15" s="1" t="s">
        <v>29</v>
      </c>
    </row>
    <row r="16" spans="1:21" ht="15.75" customHeight="1" x14ac:dyDescent="0.15">
      <c r="A16" s="2">
        <v>45251.506297604166</v>
      </c>
      <c r="B16" s="1" t="s">
        <v>20</v>
      </c>
      <c r="C16" s="1" t="s">
        <v>21</v>
      </c>
      <c r="D16" s="1" t="s">
        <v>60</v>
      </c>
      <c r="E16" s="1" t="s">
        <v>68</v>
      </c>
      <c r="F16" s="1" t="s">
        <v>23</v>
      </c>
      <c r="G16" s="1" t="s">
        <v>83</v>
      </c>
      <c r="H16" s="1" t="s">
        <v>84</v>
      </c>
      <c r="I16" s="1" t="s">
        <v>26</v>
      </c>
      <c r="J16" s="1" t="s">
        <v>29</v>
      </c>
      <c r="L16" s="1" t="s">
        <v>29</v>
      </c>
      <c r="N16" s="1" t="s">
        <v>66</v>
      </c>
      <c r="O16" s="1" t="s">
        <v>71</v>
      </c>
      <c r="P16" s="1" t="s">
        <v>74</v>
      </c>
      <c r="Q16" s="1" t="s">
        <v>33</v>
      </c>
      <c r="R16" s="1" t="s">
        <v>29</v>
      </c>
      <c r="S16" s="1" t="s">
        <v>54</v>
      </c>
      <c r="T16" s="1">
        <v>2</v>
      </c>
      <c r="U16" s="1" t="s">
        <v>29</v>
      </c>
    </row>
    <row r="17" spans="1:21" ht="15.75" customHeight="1" x14ac:dyDescent="0.15">
      <c r="A17" s="2">
        <v>45251.507252604162</v>
      </c>
      <c r="B17" s="1" t="s">
        <v>41</v>
      </c>
      <c r="C17" s="1" t="s">
        <v>21</v>
      </c>
      <c r="D17" s="1" t="s">
        <v>42</v>
      </c>
      <c r="F17" s="1" t="s">
        <v>23</v>
      </c>
      <c r="G17" s="1" t="s">
        <v>35</v>
      </c>
      <c r="H17" s="1" t="s">
        <v>84</v>
      </c>
      <c r="I17" s="1" t="s">
        <v>26</v>
      </c>
      <c r="J17" s="1" t="s">
        <v>29</v>
      </c>
      <c r="L17" s="1" t="s">
        <v>27</v>
      </c>
      <c r="M17" s="1" t="s">
        <v>85</v>
      </c>
      <c r="N17" s="1" t="s">
        <v>38</v>
      </c>
      <c r="O17" s="1" t="s">
        <v>39</v>
      </c>
      <c r="P17" s="1" t="s">
        <v>74</v>
      </c>
      <c r="Q17" s="1" t="s">
        <v>33</v>
      </c>
      <c r="R17" s="1" t="s">
        <v>29</v>
      </c>
      <c r="S17" s="1" t="s">
        <v>40</v>
      </c>
      <c r="T17" s="1">
        <v>4</v>
      </c>
      <c r="U17" s="1" t="s">
        <v>27</v>
      </c>
    </row>
    <row r="18" spans="1:21" ht="15.75" customHeight="1" x14ac:dyDescent="0.15">
      <c r="A18" s="2">
        <v>45251.509139189817</v>
      </c>
      <c r="B18" s="1" t="s">
        <v>41</v>
      </c>
      <c r="C18" s="1" t="s">
        <v>21</v>
      </c>
      <c r="D18" s="1" t="s">
        <v>42</v>
      </c>
      <c r="F18" s="1" t="s">
        <v>23</v>
      </c>
      <c r="G18" s="1" t="s">
        <v>43</v>
      </c>
      <c r="H18" s="1" t="s">
        <v>79</v>
      </c>
      <c r="I18" s="1" t="s">
        <v>26</v>
      </c>
      <c r="J18" s="1" t="s">
        <v>27</v>
      </c>
      <c r="K18" s="1" t="s">
        <v>86</v>
      </c>
      <c r="L18" s="1" t="s">
        <v>27</v>
      </c>
      <c r="M18" s="1" t="s">
        <v>87</v>
      </c>
      <c r="N18" s="1" t="s">
        <v>30</v>
      </c>
      <c r="O18" s="1" t="s">
        <v>71</v>
      </c>
      <c r="P18" s="1" t="s">
        <v>74</v>
      </c>
      <c r="Q18" s="1" t="s">
        <v>33</v>
      </c>
      <c r="R18" s="1" t="s">
        <v>29</v>
      </c>
      <c r="S18" s="1" t="s">
        <v>40</v>
      </c>
      <c r="T18" s="1">
        <v>4</v>
      </c>
      <c r="U18" s="1" t="s">
        <v>27</v>
      </c>
    </row>
    <row r="19" spans="1:21" ht="15.75" customHeight="1" x14ac:dyDescent="0.15">
      <c r="A19" s="2">
        <v>45251.510488784726</v>
      </c>
      <c r="B19" s="1" t="s">
        <v>20</v>
      </c>
      <c r="C19" s="1" t="s">
        <v>21</v>
      </c>
      <c r="D19" s="1" t="s">
        <v>42</v>
      </c>
      <c r="F19" s="1" t="s">
        <v>47</v>
      </c>
      <c r="G19" s="1" t="s">
        <v>58</v>
      </c>
      <c r="H19" s="1" t="s">
        <v>79</v>
      </c>
      <c r="I19" s="1" t="s">
        <v>52</v>
      </c>
      <c r="J19" s="1" t="s">
        <v>29</v>
      </c>
      <c r="L19" s="1" t="s">
        <v>27</v>
      </c>
      <c r="M19" s="1" t="s">
        <v>88</v>
      </c>
      <c r="N19" s="1" t="s">
        <v>38</v>
      </c>
      <c r="O19" s="1" t="s">
        <v>71</v>
      </c>
      <c r="P19" s="1" t="s">
        <v>32</v>
      </c>
      <c r="Q19" s="1" t="s">
        <v>33</v>
      </c>
      <c r="R19" s="1" t="s">
        <v>29</v>
      </c>
      <c r="S19" s="1" t="s">
        <v>40</v>
      </c>
      <c r="T19" s="1">
        <v>3</v>
      </c>
      <c r="U19" s="1" t="s">
        <v>29</v>
      </c>
    </row>
    <row r="20" spans="1:21" ht="15.75" customHeight="1" x14ac:dyDescent="0.15">
      <c r="A20" s="2">
        <v>45251.512181435188</v>
      </c>
      <c r="B20" s="1" t="s">
        <v>41</v>
      </c>
      <c r="C20" s="1" t="s">
        <v>21</v>
      </c>
      <c r="D20" s="1" t="s">
        <v>42</v>
      </c>
      <c r="F20" s="1" t="s">
        <v>57</v>
      </c>
      <c r="G20" s="1" t="s">
        <v>35</v>
      </c>
      <c r="H20" s="1" t="s">
        <v>89</v>
      </c>
      <c r="I20" s="1" t="s">
        <v>63</v>
      </c>
      <c r="J20" s="1" t="s">
        <v>27</v>
      </c>
      <c r="K20" s="1" t="s">
        <v>90</v>
      </c>
      <c r="L20" s="1" t="s">
        <v>27</v>
      </c>
      <c r="M20" s="1" t="s">
        <v>91</v>
      </c>
      <c r="N20" s="1" t="s">
        <v>38</v>
      </c>
      <c r="O20" s="1" t="s">
        <v>92</v>
      </c>
      <c r="P20" s="1" t="s">
        <v>32</v>
      </c>
      <c r="Q20" s="1" t="s">
        <v>33</v>
      </c>
      <c r="R20" s="1" t="s">
        <v>29</v>
      </c>
      <c r="S20" s="1" t="s">
        <v>67</v>
      </c>
      <c r="T20" s="1">
        <v>5</v>
      </c>
      <c r="U20" s="1" t="s">
        <v>27</v>
      </c>
    </row>
    <row r="21" spans="1:21" ht="15.75" customHeight="1" x14ac:dyDescent="0.15">
      <c r="A21" s="2">
        <v>45251.515609791662</v>
      </c>
      <c r="B21" s="1" t="s">
        <v>41</v>
      </c>
      <c r="C21" s="1" t="s">
        <v>21</v>
      </c>
      <c r="D21" s="1" t="s">
        <v>42</v>
      </c>
      <c r="F21" s="1" t="s">
        <v>23</v>
      </c>
      <c r="G21" s="1" t="s">
        <v>48</v>
      </c>
      <c r="H21" s="1" t="s">
        <v>93</v>
      </c>
      <c r="I21" s="1" t="s">
        <v>26</v>
      </c>
      <c r="J21" s="1" t="s">
        <v>27</v>
      </c>
      <c r="K21" s="1" t="s">
        <v>94</v>
      </c>
      <c r="L21" s="1" t="s">
        <v>29</v>
      </c>
      <c r="N21" s="1" t="s">
        <v>30</v>
      </c>
      <c r="O21" s="1" t="s">
        <v>39</v>
      </c>
      <c r="P21" s="1" t="s">
        <v>32</v>
      </c>
      <c r="Q21" s="1" t="s">
        <v>33</v>
      </c>
      <c r="R21" s="1" t="s">
        <v>27</v>
      </c>
      <c r="S21" s="1" t="s">
        <v>54</v>
      </c>
      <c r="T21" s="1">
        <v>4</v>
      </c>
      <c r="U21" s="1" t="s">
        <v>29</v>
      </c>
    </row>
    <row r="22" spans="1:21" ht="15.75" customHeight="1" x14ac:dyDescent="0.15">
      <c r="A22" s="2">
        <v>45251.515700150463</v>
      </c>
      <c r="B22" s="1" t="s">
        <v>41</v>
      </c>
      <c r="C22" s="1" t="s">
        <v>21</v>
      </c>
      <c r="D22" s="1" t="s">
        <v>42</v>
      </c>
      <c r="F22" s="1" t="s">
        <v>23</v>
      </c>
      <c r="G22" s="1" t="s">
        <v>48</v>
      </c>
      <c r="H22" s="1" t="s">
        <v>93</v>
      </c>
      <c r="I22" s="1" t="s">
        <v>63</v>
      </c>
      <c r="J22" s="1" t="s">
        <v>27</v>
      </c>
      <c r="K22" s="1" t="s">
        <v>95</v>
      </c>
      <c r="L22" s="1" t="s">
        <v>29</v>
      </c>
      <c r="N22" s="1" t="s">
        <v>38</v>
      </c>
      <c r="O22" s="1" t="s">
        <v>31</v>
      </c>
      <c r="P22" s="1" t="s">
        <v>50</v>
      </c>
      <c r="Q22" s="1" t="s">
        <v>33</v>
      </c>
      <c r="R22" s="1" t="s">
        <v>29</v>
      </c>
      <c r="S22" s="1" t="s">
        <v>40</v>
      </c>
      <c r="T22" s="1">
        <v>2</v>
      </c>
      <c r="U22" s="1" t="s">
        <v>29</v>
      </c>
    </row>
    <row r="23" spans="1:21" ht="15.75" customHeight="1" x14ac:dyDescent="0.15">
      <c r="A23" s="2">
        <v>45251.518362789357</v>
      </c>
      <c r="B23" s="1" t="s">
        <v>20</v>
      </c>
      <c r="C23" s="1" t="s">
        <v>21</v>
      </c>
      <c r="D23" s="1" t="s">
        <v>42</v>
      </c>
      <c r="F23" s="1" t="s">
        <v>57</v>
      </c>
      <c r="G23" s="1" t="s">
        <v>83</v>
      </c>
      <c r="H23" s="1" t="s">
        <v>96</v>
      </c>
      <c r="I23" s="1" t="s">
        <v>63</v>
      </c>
      <c r="J23" s="1" t="s">
        <v>27</v>
      </c>
      <c r="K23" s="1" t="s">
        <v>97</v>
      </c>
      <c r="L23" s="1" t="s">
        <v>27</v>
      </c>
      <c r="M23" s="1" t="s">
        <v>98</v>
      </c>
      <c r="N23" s="1" t="s">
        <v>38</v>
      </c>
      <c r="O23" s="1" t="s">
        <v>31</v>
      </c>
      <c r="P23" s="1" t="s">
        <v>50</v>
      </c>
      <c r="Q23" s="1" t="s">
        <v>99</v>
      </c>
      <c r="R23" s="1" t="s">
        <v>29</v>
      </c>
      <c r="S23" s="1" t="s">
        <v>67</v>
      </c>
      <c r="T23" s="1">
        <v>3</v>
      </c>
      <c r="U23" s="1" t="s">
        <v>27</v>
      </c>
    </row>
    <row r="24" spans="1:21" ht="15.75" customHeight="1" x14ac:dyDescent="0.15">
      <c r="A24" s="2">
        <v>45251.518999953703</v>
      </c>
      <c r="B24" s="1" t="s">
        <v>41</v>
      </c>
      <c r="C24" s="1" t="s">
        <v>21</v>
      </c>
      <c r="D24" s="1" t="s">
        <v>42</v>
      </c>
      <c r="F24" s="1" t="s">
        <v>57</v>
      </c>
      <c r="G24" s="1" t="s">
        <v>83</v>
      </c>
      <c r="H24" s="1" t="s">
        <v>100</v>
      </c>
      <c r="I24" s="1" t="s">
        <v>26</v>
      </c>
      <c r="J24" s="1" t="s">
        <v>29</v>
      </c>
      <c r="L24" s="1" t="s">
        <v>29</v>
      </c>
      <c r="N24" s="1" t="s">
        <v>38</v>
      </c>
      <c r="O24" s="1" t="s">
        <v>101</v>
      </c>
      <c r="P24" s="1" t="s">
        <v>50</v>
      </c>
      <c r="Q24" s="1" t="s">
        <v>33</v>
      </c>
      <c r="R24" s="1" t="s">
        <v>29</v>
      </c>
      <c r="S24" s="1" t="s">
        <v>40</v>
      </c>
      <c r="T24" s="1">
        <v>3</v>
      </c>
      <c r="U24" s="1" t="s">
        <v>27</v>
      </c>
    </row>
    <row r="25" spans="1:21" ht="15.75" customHeight="1" x14ac:dyDescent="0.15">
      <c r="A25" s="2">
        <v>45251.519056990743</v>
      </c>
      <c r="B25" s="1" t="s">
        <v>20</v>
      </c>
      <c r="C25" s="1" t="s">
        <v>21</v>
      </c>
      <c r="D25" s="1" t="s">
        <v>42</v>
      </c>
      <c r="F25" s="1" t="s">
        <v>57</v>
      </c>
      <c r="G25" s="1" t="s">
        <v>48</v>
      </c>
      <c r="H25" s="1" t="s">
        <v>49</v>
      </c>
      <c r="I25" s="1" t="s">
        <v>82</v>
      </c>
      <c r="J25" s="1" t="s">
        <v>29</v>
      </c>
      <c r="L25" s="1" t="s">
        <v>29</v>
      </c>
      <c r="N25" s="1" t="s">
        <v>66</v>
      </c>
      <c r="O25" s="1" t="s">
        <v>31</v>
      </c>
      <c r="P25" s="1" t="s">
        <v>50</v>
      </c>
      <c r="Q25" s="1" t="s">
        <v>33</v>
      </c>
      <c r="R25" s="1" t="s">
        <v>27</v>
      </c>
      <c r="S25" s="1" t="s">
        <v>54</v>
      </c>
      <c r="T25" s="1">
        <v>2</v>
      </c>
      <c r="U25" s="1" t="s">
        <v>29</v>
      </c>
    </row>
    <row r="26" spans="1:21" ht="15.75" customHeight="1" x14ac:dyDescent="0.15">
      <c r="A26" s="2">
        <v>45251.520263055558</v>
      </c>
      <c r="B26" s="1" t="s">
        <v>41</v>
      </c>
      <c r="C26" s="1" t="s">
        <v>21</v>
      </c>
      <c r="D26" s="1" t="s">
        <v>51</v>
      </c>
      <c r="F26" s="1" t="s">
        <v>47</v>
      </c>
      <c r="G26" s="1" t="s">
        <v>35</v>
      </c>
      <c r="H26" s="1" t="s">
        <v>65</v>
      </c>
      <c r="I26" s="1" t="s">
        <v>26</v>
      </c>
      <c r="J26" s="1" t="s">
        <v>29</v>
      </c>
      <c r="L26" s="1" t="s">
        <v>29</v>
      </c>
      <c r="N26" s="1" t="s">
        <v>38</v>
      </c>
      <c r="O26" s="1" t="s">
        <v>71</v>
      </c>
      <c r="P26" s="1" t="s">
        <v>74</v>
      </c>
      <c r="Q26" s="1" t="s">
        <v>33</v>
      </c>
      <c r="R26" s="1" t="s">
        <v>29</v>
      </c>
      <c r="S26" s="1" t="s">
        <v>40</v>
      </c>
      <c r="T26" s="1">
        <v>4</v>
      </c>
      <c r="U26" s="1" t="s">
        <v>29</v>
      </c>
    </row>
    <row r="27" spans="1:21" ht="15.75" customHeight="1" x14ac:dyDescent="0.15">
      <c r="A27" s="2">
        <v>45251.522630335647</v>
      </c>
      <c r="B27" s="1" t="s">
        <v>41</v>
      </c>
      <c r="C27" s="1" t="s">
        <v>21</v>
      </c>
      <c r="D27" s="1" t="s">
        <v>42</v>
      </c>
      <c r="F27" s="1" t="s">
        <v>23</v>
      </c>
      <c r="G27" s="1" t="s">
        <v>35</v>
      </c>
      <c r="H27" s="1" t="s">
        <v>81</v>
      </c>
      <c r="I27" s="1" t="s">
        <v>82</v>
      </c>
      <c r="J27" s="1" t="s">
        <v>29</v>
      </c>
      <c r="L27" s="1" t="s">
        <v>29</v>
      </c>
      <c r="N27" s="1" t="s">
        <v>30</v>
      </c>
      <c r="O27" s="1" t="s">
        <v>39</v>
      </c>
      <c r="P27" s="1" t="s">
        <v>32</v>
      </c>
      <c r="Q27" s="1" t="s">
        <v>33</v>
      </c>
      <c r="R27" s="1" t="s">
        <v>29</v>
      </c>
      <c r="S27" s="1" t="s">
        <v>40</v>
      </c>
      <c r="T27" s="1">
        <v>4</v>
      </c>
      <c r="U27" s="1" t="s">
        <v>27</v>
      </c>
    </row>
    <row r="28" spans="1:21" ht="15.75" customHeight="1" x14ac:dyDescent="0.15">
      <c r="A28" s="2">
        <v>45251.523428912042</v>
      </c>
      <c r="B28" s="1" t="s">
        <v>20</v>
      </c>
      <c r="C28" s="1" t="s">
        <v>21</v>
      </c>
      <c r="D28" s="1" t="s">
        <v>55</v>
      </c>
      <c r="F28" s="1" t="s">
        <v>47</v>
      </c>
      <c r="G28" s="1" t="s">
        <v>35</v>
      </c>
      <c r="H28" s="1" t="s">
        <v>81</v>
      </c>
      <c r="I28" s="1" t="s">
        <v>26</v>
      </c>
      <c r="J28" s="1" t="s">
        <v>29</v>
      </c>
      <c r="L28" s="1" t="s">
        <v>29</v>
      </c>
      <c r="N28" s="1" t="s">
        <v>38</v>
      </c>
      <c r="O28" s="1" t="s">
        <v>46</v>
      </c>
      <c r="P28" s="1" t="s">
        <v>74</v>
      </c>
      <c r="Q28" s="1" t="s">
        <v>33</v>
      </c>
      <c r="R28" s="1" t="s">
        <v>29</v>
      </c>
      <c r="S28" s="1" t="s">
        <v>54</v>
      </c>
      <c r="T28" s="1">
        <v>2</v>
      </c>
      <c r="U28" s="1" t="s">
        <v>27</v>
      </c>
    </row>
    <row r="29" spans="1:21" ht="15.75" customHeight="1" x14ac:dyDescent="0.15">
      <c r="A29" s="2">
        <v>45251.523980266204</v>
      </c>
      <c r="B29" s="1" t="s">
        <v>41</v>
      </c>
      <c r="C29" s="1" t="s">
        <v>21</v>
      </c>
      <c r="D29" s="1" t="s">
        <v>42</v>
      </c>
      <c r="F29" s="1" t="s">
        <v>23</v>
      </c>
      <c r="G29" s="1" t="s">
        <v>35</v>
      </c>
      <c r="H29" s="1" t="s">
        <v>81</v>
      </c>
      <c r="I29" s="1" t="s">
        <v>52</v>
      </c>
      <c r="J29" s="1" t="s">
        <v>29</v>
      </c>
      <c r="L29" s="1" t="s">
        <v>29</v>
      </c>
      <c r="N29" s="1" t="s">
        <v>38</v>
      </c>
      <c r="O29" s="1" t="s">
        <v>46</v>
      </c>
      <c r="P29" s="1" t="s">
        <v>74</v>
      </c>
      <c r="Q29" s="1" t="s">
        <v>33</v>
      </c>
      <c r="R29" s="1" t="s">
        <v>27</v>
      </c>
      <c r="S29" s="1" t="s">
        <v>40</v>
      </c>
      <c r="T29" s="1">
        <v>5</v>
      </c>
      <c r="U29" s="1" t="s">
        <v>27</v>
      </c>
    </row>
    <row r="30" spans="1:21" ht="15.75" customHeight="1" x14ac:dyDescent="0.15">
      <c r="A30" s="2">
        <v>45251.52402783565</v>
      </c>
      <c r="B30" s="1" t="s">
        <v>41</v>
      </c>
      <c r="C30" s="1" t="s">
        <v>21</v>
      </c>
      <c r="D30" s="1" t="s">
        <v>60</v>
      </c>
      <c r="E30" s="1" t="s">
        <v>68</v>
      </c>
      <c r="F30" s="1" t="s">
        <v>47</v>
      </c>
      <c r="G30" s="1" t="s">
        <v>48</v>
      </c>
      <c r="H30" s="1" t="s">
        <v>70</v>
      </c>
      <c r="I30" s="1" t="s">
        <v>52</v>
      </c>
      <c r="J30" s="1" t="s">
        <v>29</v>
      </c>
      <c r="L30" s="1" t="s">
        <v>29</v>
      </c>
      <c r="N30" s="1" t="s">
        <v>30</v>
      </c>
      <c r="O30" s="1" t="s">
        <v>71</v>
      </c>
      <c r="P30" s="1" t="s">
        <v>32</v>
      </c>
      <c r="Q30" s="1" t="s">
        <v>33</v>
      </c>
      <c r="R30" s="1" t="s">
        <v>29</v>
      </c>
      <c r="S30" s="1" t="s">
        <v>102</v>
      </c>
      <c r="T30" s="1">
        <v>5</v>
      </c>
      <c r="U30" s="1" t="s">
        <v>27</v>
      </c>
    </row>
    <row r="31" spans="1:21" ht="15.75" customHeight="1" x14ac:dyDescent="0.15">
      <c r="A31" s="2">
        <v>45251.528185972224</v>
      </c>
      <c r="B31" s="1" t="s">
        <v>41</v>
      </c>
      <c r="C31" s="1" t="s">
        <v>21</v>
      </c>
      <c r="D31" s="1" t="s">
        <v>42</v>
      </c>
      <c r="F31" s="1" t="s">
        <v>23</v>
      </c>
      <c r="G31" s="1" t="s">
        <v>43</v>
      </c>
      <c r="H31" s="1" t="s">
        <v>81</v>
      </c>
      <c r="I31" s="1" t="s">
        <v>52</v>
      </c>
      <c r="J31" s="1" t="s">
        <v>29</v>
      </c>
      <c r="L31" s="1" t="s">
        <v>29</v>
      </c>
      <c r="N31" s="1" t="s">
        <v>38</v>
      </c>
      <c r="O31" s="1" t="s">
        <v>46</v>
      </c>
      <c r="P31" s="1" t="s">
        <v>64</v>
      </c>
      <c r="Q31" s="1" t="s">
        <v>33</v>
      </c>
      <c r="R31" s="1" t="s">
        <v>29</v>
      </c>
      <c r="S31" s="1" t="s">
        <v>40</v>
      </c>
      <c r="T31" s="1">
        <v>3</v>
      </c>
      <c r="U31" s="1" t="s">
        <v>27</v>
      </c>
    </row>
    <row r="32" spans="1:21" ht="15.75" customHeight="1" x14ac:dyDescent="0.15">
      <c r="A32" s="2">
        <v>45251.52832420139</v>
      </c>
      <c r="B32" s="1" t="s">
        <v>41</v>
      </c>
      <c r="C32" s="1" t="s">
        <v>21</v>
      </c>
      <c r="D32" s="1" t="s">
        <v>42</v>
      </c>
      <c r="F32" s="1" t="s">
        <v>57</v>
      </c>
      <c r="G32" s="1" t="s">
        <v>35</v>
      </c>
      <c r="H32" s="1" t="s">
        <v>103</v>
      </c>
      <c r="I32" s="1" t="s">
        <v>26</v>
      </c>
      <c r="J32" s="1" t="s">
        <v>27</v>
      </c>
      <c r="K32" s="1" t="s">
        <v>104</v>
      </c>
      <c r="L32" s="1" t="s">
        <v>27</v>
      </c>
      <c r="M32" s="1" t="s">
        <v>105</v>
      </c>
      <c r="N32" s="1" t="s">
        <v>30</v>
      </c>
      <c r="O32" s="1" t="s">
        <v>46</v>
      </c>
      <c r="P32" s="1" t="s">
        <v>64</v>
      </c>
      <c r="Q32" s="1" t="s">
        <v>33</v>
      </c>
      <c r="R32" s="1" t="s">
        <v>27</v>
      </c>
      <c r="S32" s="1" t="s">
        <v>54</v>
      </c>
      <c r="T32" s="1">
        <v>4</v>
      </c>
      <c r="U32" s="1" t="s">
        <v>27</v>
      </c>
    </row>
    <row r="33" spans="1:21" ht="15.75" customHeight="1" x14ac:dyDescent="0.15">
      <c r="A33" s="2">
        <v>45251.528365509264</v>
      </c>
      <c r="B33" s="1" t="s">
        <v>41</v>
      </c>
      <c r="C33" s="1" t="s">
        <v>21</v>
      </c>
      <c r="D33" s="1" t="s">
        <v>42</v>
      </c>
      <c r="F33" s="1" t="s">
        <v>23</v>
      </c>
      <c r="G33" s="1" t="s">
        <v>43</v>
      </c>
      <c r="H33" s="1" t="s">
        <v>84</v>
      </c>
      <c r="I33" s="1" t="s">
        <v>52</v>
      </c>
      <c r="J33" s="1" t="s">
        <v>29</v>
      </c>
      <c r="L33" s="1" t="s">
        <v>29</v>
      </c>
      <c r="N33" s="1" t="s">
        <v>38</v>
      </c>
      <c r="O33" s="1" t="s">
        <v>106</v>
      </c>
      <c r="P33" s="1" t="s">
        <v>64</v>
      </c>
      <c r="Q33" s="1" t="s">
        <v>33</v>
      </c>
      <c r="R33" s="1" t="s">
        <v>29</v>
      </c>
      <c r="S33" s="1" t="s">
        <v>40</v>
      </c>
      <c r="T33" s="1">
        <v>5</v>
      </c>
      <c r="U33" s="1" t="s">
        <v>27</v>
      </c>
    </row>
    <row r="34" spans="1:21" ht="15.75" customHeight="1" x14ac:dyDescent="0.15">
      <c r="A34" s="2">
        <v>45251.529203032405</v>
      </c>
      <c r="B34" s="1" t="s">
        <v>41</v>
      </c>
      <c r="C34" s="1" t="s">
        <v>21</v>
      </c>
      <c r="D34" s="1" t="s">
        <v>42</v>
      </c>
      <c r="F34" s="1" t="s">
        <v>23</v>
      </c>
      <c r="G34" s="1" t="s">
        <v>35</v>
      </c>
      <c r="H34" s="1" t="s">
        <v>84</v>
      </c>
      <c r="I34" s="1" t="s">
        <v>63</v>
      </c>
      <c r="J34" s="1" t="s">
        <v>27</v>
      </c>
      <c r="K34" s="1" t="s">
        <v>107</v>
      </c>
      <c r="L34" s="1" t="s">
        <v>29</v>
      </c>
      <c r="N34" s="1" t="s">
        <v>30</v>
      </c>
      <c r="O34" s="1" t="s">
        <v>46</v>
      </c>
      <c r="P34" s="1" t="s">
        <v>50</v>
      </c>
      <c r="Q34" s="1" t="s">
        <v>33</v>
      </c>
      <c r="R34" s="1" t="s">
        <v>27</v>
      </c>
      <c r="S34" s="1" t="s">
        <v>54</v>
      </c>
      <c r="T34" s="1">
        <v>3</v>
      </c>
      <c r="U34" s="1" t="s">
        <v>27</v>
      </c>
    </row>
    <row r="35" spans="1:21" ht="15.75" customHeight="1" x14ac:dyDescent="0.15">
      <c r="A35" s="2">
        <v>45251.529491354166</v>
      </c>
      <c r="B35" s="1" t="s">
        <v>41</v>
      </c>
      <c r="C35" s="1" t="s">
        <v>21</v>
      </c>
      <c r="D35" s="1" t="s">
        <v>51</v>
      </c>
      <c r="F35" s="1" t="s">
        <v>23</v>
      </c>
      <c r="G35" s="1" t="s">
        <v>83</v>
      </c>
      <c r="H35" s="1" t="s">
        <v>44</v>
      </c>
      <c r="I35" s="1" t="s">
        <v>63</v>
      </c>
      <c r="J35" s="1" t="s">
        <v>29</v>
      </c>
      <c r="L35" s="1" t="s">
        <v>29</v>
      </c>
      <c r="N35" s="1" t="s">
        <v>38</v>
      </c>
      <c r="O35" s="1" t="s">
        <v>101</v>
      </c>
      <c r="P35" s="1" t="s">
        <v>74</v>
      </c>
      <c r="Q35" s="1" t="s">
        <v>33</v>
      </c>
      <c r="R35" s="1" t="s">
        <v>29</v>
      </c>
      <c r="S35" s="1" t="s">
        <v>40</v>
      </c>
      <c r="T35" s="1">
        <v>5</v>
      </c>
      <c r="U35" s="1" t="s">
        <v>27</v>
      </c>
    </row>
    <row r="36" spans="1:21" ht="15.75" customHeight="1" x14ac:dyDescent="0.15">
      <c r="A36" s="2">
        <v>45251.530792002319</v>
      </c>
      <c r="B36" s="1" t="s">
        <v>20</v>
      </c>
      <c r="C36" s="1" t="s">
        <v>21</v>
      </c>
      <c r="D36" s="1" t="s">
        <v>42</v>
      </c>
      <c r="F36" s="1" t="s">
        <v>57</v>
      </c>
      <c r="G36" s="1" t="s">
        <v>83</v>
      </c>
      <c r="H36" s="1" t="s">
        <v>81</v>
      </c>
      <c r="I36" s="1" t="s">
        <v>63</v>
      </c>
      <c r="J36" s="1" t="s">
        <v>29</v>
      </c>
      <c r="L36" s="1" t="s">
        <v>27</v>
      </c>
      <c r="M36" s="1" t="s">
        <v>108</v>
      </c>
      <c r="N36" s="1" t="s">
        <v>66</v>
      </c>
      <c r="O36" s="1" t="s">
        <v>46</v>
      </c>
      <c r="P36" s="1" t="s">
        <v>50</v>
      </c>
      <c r="Q36" s="1" t="s">
        <v>33</v>
      </c>
      <c r="R36" s="1" t="s">
        <v>29</v>
      </c>
      <c r="S36" s="1" t="s">
        <v>67</v>
      </c>
      <c r="T36" s="1">
        <v>3</v>
      </c>
      <c r="U36" s="1" t="s">
        <v>27</v>
      </c>
    </row>
    <row r="37" spans="1:21" ht="15.75" customHeight="1" x14ac:dyDescent="0.15">
      <c r="A37" s="2">
        <v>45251.533557129631</v>
      </c>
      <c r="B37" s="1" t="s">
        <v>41</v>
      </c>
      <c r="C37" s="1" t="s">
        <v>21</v>
      </c>
      <c r="D37" s="1" t="s">
        <v>42</v>
      </c>
      <c r="F37" s="1" t="s">
        <v>23</v>
      </c>
      <c r="G37" s="1" t="s">
        <v>48</v>
      </c>
      <c r="H37" s="1" t="s">
        <v>109</v>
      </c>
      <c r="I37" s="1" t="s">
        <v>26</v>
      </c>
      <c r="J37" s="1" t="s">
        <v>27</v>
      </c>
      <c r="K37" s="1" t="s">
        <v>110</v>
      </c>
      <c r="L37" s="1" t="s">
        <v>29</v>
      </c>
      <c r="N37" s="1" t="s">
        <v>38</v>
      </c>
      <c r="O37" s="1" t="s">
        <v>106</v>
      </c>
      <c r="P37" s="1" t="s">
        <v>32</v>
      </c>
      <c r="Q37" s="1" t="s">
        <v>33</v>
      </c>
      <c r="R37" s="1" t="s">
        <v>29</v>
      </c>
      <c r="S37" s="1" t="s">
        <v>40</v>
      </c>
      <c r="T37" s="1">
        <v>5</v>
      </c>
      <c r="U37" s="1" t="s">
        <v>27</v>
      </c>
    </row>
    <row r="38" spans="1:21" ht="15.75" customHeight="1" x14ac:dyDescent="0.15">
      <c r="A38" s="2">
        <v>45251.534042685184</v>
      </c>
      <c r="B38" s="1" t="s">
        <v>41</v>
      </c>
      <c r="C38" s="1" t="s">
        <v>21</v>
      </c>
      <c r="D38" s="1" t="s">
        <v>42</v>
      </c>
      <c r="F38" s="1" t="s">
        <v>23</v>
      </c>
      <c r="G38" s="1" t="s">
        <v>35</v>
      </c>
      <c r="H38" s="1" t="s">
        <v>79</v>
      </c>
      <c r="I38" s="1" t="s">
        <v>63</v>
      </c>
      <c r="J38" s="1" t="s">
        <v>29</v>
      </c>
      <c r="L38" s="1" t="s">
        <v>29</v>
      </c>
      <c r="N38" s="1" t="s">
        <v>30</v>
      </c>
      <c r="O38" s="1" t="s">
        <v>46</v>
      </c>
      <c r="P38" s="1" t="s">
        <v>74</v>
      </c>
      <c r="Q38" s="1" t="s">
        <v>33</v>
      </c>
      <c r="R38" s="1" t="s">
        <v>29</v>
      </c>
      <c r="S38" s="1" t="s">
        <v>40</v>
      </c>
      <c r="T38" s="1">
        <v>5</v>
      </c>
      <c r="U38" s="1" t="s">
        <v>27</v>
      </c>
    </row>
    <row r="39" spans="1:21" ht="15.75" customHeight="1" x14ac:dyDescent="0.15">
      <c r="A39" s="2">
        <v>45251.535046550925</v>
      </c>
      <c r="B39" s="1" t="s">
        <v>41</v>
      </c>
      <c r="C39" s="1" t="s">
        <v>75</v>
      </c>
      <c r="D39" s="1" t="s">
        <v>55</v>
      </c>
      <c r="F39" s="1" t="s">
        <v>47</v>
      </c>
      <c r="G39" s="1" t="s">
        <v>43</v>
      </c>
      <c r="H39" s="1" t="s">
        <v>81</v>
      </c>
      <c r="I39" s="1" t="s">
        <v>63</v>
      </c>
      <c r="J39" s="1" t="s">
        <v>29</v>
      </c>
      <c r="L39" s="1" t="s">
        <v>29</v>
      </c>
      <c r="N39" s="1" t="s">
        <v>38</v>
      </c>
      <c r="O39" s="1" t="s">
        <v>111</v>
      </c>
      <c r="P39" s="1" t="s">
        <v>50</v>
      </c>
      <c r="Q39" s="1" t="s">
        <v>33</v>
      </c>
      <c r="R39" s="1" t="s">
        <v>27</v>
      </c>
      <c r="S39" s="1" t="s">
        <v>54</v>
      </c>
      <c r="T39" s="1">
        <v>3</v>
      </c>
      <c r="U39" s="1" t="s">
        <v>29</v>
      </c>
    </row>
    <row r="40" spans="1:21" ht="15.75" customHeight="1" x14ac:dyDescent="0.15">
      <c r="A40" s="2">
        <v>45251.537329537037</v>
      </c>
      <c r="B40" s="1" t="s">
        <v>20</v>
      </c>
      <c r="C40" s="1" t="s">
        <v>21</v>
      </c>
      <c r="D40" s="1" t="s">
        <v>42</v>
      </c>
      <c r="F40" s="1" t="s">
        <v>23</v>
      </c>
      <c r="G40" s="1" t="s">
        <v>43</v>
      </c>
      <c r="H40" s="1" t="s">
        <v>73</v>
      </c>
      <c r="I40" s="1" t="s">
        <v>52</v>
      </c>
      <c r="J40" s="1" t="s">
        <v>27</v>
      </c>
      <c r="K40" s="1" t="s">
        <v>112</v>
      </c>
      <c r="L40" s="1" t="s">
        <v>29</v>
      </c>
      <c r="N40" s="1" t="s">
        <v>66</v>
      </c>
      <c r="O40" s="1" t="s">
        <v>113</v>
      </c>
      <c r="P40" s="1" t="s">
        <v>74</v>
      </c>
      <c r="Q40" s="1" t="s">
        <v>33</v>
      </c>
      <c r="R40" s="1" t="s">
        <v>29</v>
      </c>
      <c r="S40" s="1" t="s">
        <v>54</v>
      </c>
      <c r="T40" s="1">
        <v>4</v>
      </c>
      <c r="U40" s="1" t="s">
        <v>27</v>
      </c>
    </row>
    <row r="41" spans="1:21" ht="15.75" customHeight="1" x14ac:dyDescent="0.15">
      <c r="A41" s="2">
        <v>45251.537389131947</v>
      </c>
      <c r="B41" s="1" t="s">
        <v>41</v>
      </c>
      <c r="C41" s="1" t="s">
        <v>77</v>
      </c>
      <c r="D41" s="1" t="s">
        <v>60</v>
      </c>
      <c r="E41" s="1" t="s">
        <v>68</v>
      </c>
      <c r="F41" s="1" t="s">
        <v>47</v>
      </c>
      <c r="G41" s="1" t="s">
        <v>58</v>
      </c>
      <c r="H41" s="1" t="s">
        <v>25</v>
      </c>
      <c r="I41" s="1" t="s">
        <v>82</v>
      </c>
      <c r="J41" s="1" t="s">
        <v>29</v>
      </c>
      <c r="L41" s="1" t="s">
        <v>29</v>
      </c>
      <c r="N41" s="1" t="s">
        <v>38</v>
      </c>
      <c r="O41" s="1" t="s">
        <v>46</v>
      </c>
      <c r="P41" s="1" t="s">
        <v>32</v>
      </c>
      <c r="Q41" s="1" t="s">
        <v>114</v>
      </c>
      <c r="R41" s="1" t="s">
        <v>29</v>
      </c>
      <c r="S41" s="1" t="s">
        <v>40</v>
      </c>
      <c r="T41" s="1">
        <v>1</v>
      </c>
      <c r="U41" s="1" t="s">
        <v>27</v>
      </c>
    </row>
    <row r="42" spans="1:21" ht="15.75" customHeight="1" x14ac:dyDescent="0.15">
      <c r="A42" s="2">
        <v>45251.543352662033</v>
      </c>
      <c r="B42" s="1" t="s">
        <v>20</v>
      </c>
      <c r="C42" s="1" t="s">
        <v>21</v>
      </c>
      <c r="D42" s="1" t="s">
        <v>42</v>
      </c>
      <c r="F42" s="1" t="s">
        <v>23</v>
      </c>
      <c r="G42" s="1" t="s">
        <v>35</v>
      </c>
      <c r="H42" s="1" t="s">
        <v>115</v>
      </c>
      <c r="I42" s="1" t="s">
        <v>26</v>
      </c>
      <c r="J42" s="1" t="s">
        <v>29</v>
      </c>
      <c r="L42" s="1" t="s">
        <v>29</v>
      </c>
      <c r="N42" s="1" t="s">
        <v>30</v>
      </c>
      <c r="O42" s="1" t="s">
        <v>71</v>
      </c>
      <c r="P42" s="1" t="s">
        <v>50</v>
      </c>
      <c r="Q42" s="1" t="s">
        <v>33</v>
      </c>
      <c r="R42" s="1" t="s">
        <v>27</v>
      </c>
      <c r="S42" s="1" t="s">
        <v>54</v>
      </c>
      <c r="T42" s="1">
        <v>3</v>
      </c>
      <c r="U42" s="1" t="s">
        <v>29</v>
      </c>
    </row>
    <row r="43" spans="1:21" ht="15.75" customHeight="1" x14ac:dyDescent="0.15">
      <c r="A43" s="2">
        <v>45251.548824305559</v>
      </c>
      <c r="B43" s="1" t="s">
        <v>41</v>
      </c>
      <c r="C43" s="1" t="s">
        <v>21</v>
      </c>
      <c r="D43" s="1" t="s">
        <v>60</v>
      </c>
      <c r="E43" s="1" t="s">
        <v>61</v>
      </c>
      <c r="F43" s="1" t="s">
        <v>47</v>
      </c>
      <c r="G43" s="1" t="s">
        <v>48</v>
      </c>
      <c r="H43" s="1" t="s">
        <v>81</v>
      </c>
      <c r="I43" s="1" t="s">
        <v>82</v>
      </c>
      <c r="J43" s="1" t="s">
        <v>29</v>
      </c>
      <c r="L43" s="1" t="s">
        <v>29</v>
      </c>
      <c r="N43" s="1" t="s">
        <v>30</v>
      </c>
      <c r="O43" s="1" t="s">
        <v>116</v>
      </c>
      <c r="P43" s="1" t="s">
        <v>74</v>
      </c>
      <c r="Q43" s="1" t="s">
        <v>33</v>
      </c>
      <c r="R43" s="1" t="s">
        <v>29</v>
      </c>
      <c r="S43" s="1" t="s">
        <v>40</v>
      </c>
      <c r="T43" s="1">
        <v>5</v>
      </c>
      <c r="U43" s="1" t="s">
        <v>27</v>
      </c>
    </row>
    <row r="44" spans="1:21" ht="15.75" customHeight="1" x14ac:dyDescent="0.15">
      <c r="A44" s="2">
        <v>45251.550079502311</v>
      </c>
      <c r="B44" s="1" t="s">
        <v>20</v>
      </c>
      <c r="C44" s="1" t="s">
        <v>21</v>
      </c>
      <c r="D44" s="1" t="s">
        <v>42</v>
      </c>
      <c r="F44" s="1" t="s">
        <v>57</v>
      </c>
      <c r="G44" s="1" t="s">
        <v>83</v>
      </c>
      <c r="H44" s="1" t="s">
        <v>81</v>
      </c>
      <c r="I44" s="1" t="s">
        <v>82</v>
      </c>
      <c r="J44" s="1" t="s">
        <v>29</v>
      </c>
      <c r="L44" s="1" t="s">
        <v>29</v>
      </c>
      <c r="N44" s="1" t="s">
        <v>38</v>
      </c>
      <c r="O44" s="1" t="s">
        <v>71</v>
      </c>
      <c r="P44" s="1" t="s">
        <v>74</v>
      </c>
      <c r="Q44" s="1" t="s">
        <v>33</v>
      </c>
      <c r="R44" s="1" t="s">
        <v>29</v>
      </c>
      <c r="S44" s="1" t="s">
        <v>117</v>
      </c>
      <c r="T44" s="1">
        <v>2</v>
      </c>
      <c r="U44" s="1" t="s">
        <v>27</v>
      </c>
    </row>
    <row r="45" spans="1:21" ht="15.75" customHeight="1" x14ac:dyDescent="0.15">
      <c r="A45" s="2">
        <v>45251.551733263885</v>
      </c>
      <c r="B45" s="1" t="s">
        <v>41</v>
      </c>
      <c r="C45" s="1" t="s">
        <v>21</v>
      </c>
      <c r="D45" s="1" t="s">
        <v>42</v>
      </c>
      <c r="F45" s="1" t="s">
        <v>23</v>
      </c>
      <c r="G45" s="1" t="s">
        <v>48</v>
      </c>
      <c r="H45" s="1" t="s">
        <v>79</v>
      </c>
      <c r="I45" s="1" t="s">
        <v>63</v>
      </c>
      <c r="J45" s="1" t="s">
        <v>29</v>
      </c>
      <c r="L45" s="1" t="s">
        <v>27</v>
      </c>
      <c r="M45" s="1" t="s">
        <v>118</v>
      </c>
      <c r="N45" s="1" t="s">
        <v>38</v>
      </c>
      <c r="O45" s="1" t="s">
        <v>71</v>
      </c>
      <c r="P45" s="1" t="s">
        <v>74</v>
      </c>
      <c r="Q45" s="1" t="s">
        <v>33</v>
      </c>
      <c r="R45" s="1" t="s">
        <v>29</v>
      </c>
      <c r="S45" s="1" t="s">
        <v>40</v>
      </c>
      <c r="T45" s="1">
        <v>3</v>
      </c>
      <c r="U45" s="1" t="s">
        <v>27</v>
      </c>
    </row>
    <row r="46" spans="1:21" ht="15.75" customHeight="1" x14ac:dyDescent="0.15">
      <c r="A46" s="2">
        <v>45251.552271354165</v>
      </c>
      <c r="B46" s="1" t="s">
        <v>41</v>
      </c>
      <c r="C46" s="1" t="s">
        <v>21</v>
      </c>
      <c r="D46" s="1" t="s">
        <v>51</v>
      </c>
      <c r="F46" s="1" t="s">
        <v>23</v>
      </c>
      <c r="G46" s="1" t="s">
        <v>43</v>
      </c>
      <c r="H46" s="1" t="s">
        <v>84</v>
      </c>
      <c r="I46" s="1" t="s">
        <v>63</v>
      </c>
      <c r="J46" s="1" t="s">
        <v>29</v>
      </c>
      <c r="L46" s="1" t="s">
        <v>29</v>
      </c>
      <c r="N46" s="1" t="s">
        <v>30</v>
      </c>
      <c r="O46" s="1" t="s">
        <v>46</v>
      </c>
      <c r="P46" s="1" t="s">
        <v>32</v>
      </c>
      <c r="Q46" s="1" t="s">
        <v>33</v>
      </c>
      <c r="R46" s="1" t="s">
        <v>27</v>
      </c>
      <c r="S46" s="1" t="s">
        <v>54</v>
      </c>
      <c r="T46" s="1">
        <v>3</v>
      </c>
      <c r="U46" s="1" t="s">
        <v>29</v>
      </c>
    </row>
    <row r="47" spans="1:21" ht="15.75" customHeight="1" x14ac:dyDescent="0.15">
      <c r="A47" s="2">
        <v>45251.553336099532</v>
      </c>
      <c r="B47" s="1" t="s">
        <v>20</v>
      </c>
      <c r="C47" s="1" t="s">
        <v>21</v>
      </c>
      <c r="D47" s="1" t="s">
        <v>55</v>
      </c>
      <c r="F47" s="1" t="s">
        <v>23</v>
      </c>
      <c r="G47" s="1" t="s">
        <v>43</v>
      </c>
      <c r="H47" s="1" t="s">
        <v>36</v>
      </c>
      <c r="I47" s="1" t="s">
        <v>63</v>
      </c>
      <c r="J47" s="1" t="s">
        <v>29</v>
      </c>
      <c r="L47" s="1" t="s">
        <v>29</v>
      </c>
      <c r="N47" s="1" t="s">
        <v>38</v>
      </c>
      <c r="O47" s="1" t="s">
        <v>46</v>
      </c>
      <c r="P47" s="1" t="s">
        <v>32</v>
      </c>
      <c r="Q47" s="1" t="s">
        <v>33</v>
      </c>
      <c r="R47" s="1" t="s">
        <v>29</v>
      </c>
      <c r="S47" s="1" t="s">
        <v>67</v>
      </c>
      <c r="T47" s="1">
        <v>5</v>
      </c>
      <c r="U47" s="1" t="s">
        <v>27</v>
      </c>
    </row>
    <row r="48" spans="1:21" ht="15.75" customHeight="1" x14ac:dyDescent="0.15">
      <c r="A48" s="2">
        <v>45251.555836203705</v>
      </c>
      <c r="B48" s="1" t="s">
        <v>41</v>
      </c>
      <c r="C48" s="1" t="s">
        <v>75</v>
      </c>
      <c r="D48" s="1" t="s">
        <v>60</v>
      </c>
      <c r="E48" s="1" t="s">
        <v>68</v>
      </c>
      <c r="F48" s="1" t="s">
        <v>23</v>
      </c>
      <c r="G48" s="1" t="s">
        <v>43</v>
      </c>
      <c r="H48" s="1" t="s">
        <v>93</v>
      </c>
      <c r="I48" s="1" t="s">
        <v>63</v>
      </c>
      <c r="J48" s="1" t="s">
        <v>29</v>
      </c>
      <c r="L48" s="1" t="s">
        <v>27</v>
      </c>
      <c r="M48" s="1" t="s">
        <v>119</v>
      </c>
      <c r="N48" s="1" t="s">
        <v>30</v>
      </c>
      <c r="O48" s="1" t="s">
        <v>46</v>
      </c>
      <c r="P48" s="1" t="s">
        <v>74</v>
      </c>
      <c r="Q48" s="1" t="s">
        <v>33</v>
      </c>
      <c r="R48" s="1" t="s">
        <v>29</v>
      </c>
      <c r="S48" s="1" t="s">
        <v>40</v>
      </c>
      <c r="T48" s="1">
        <v>3</v>
      </c>
      <c r="U48" s="1" t="s">
        <v>27</v>
      </c>
    </row>
    <row r="49" spans="1:21" ht="15.75" customHeight="1" x14ac:dyDescent="0.15">
      <c r="A49" s="2">
        <v>45251.565920324079</v>
      </c>
      <c r="B49" s="1" t="s">
        <v>41</v>
      </c>
      <c r="C49" s="1" t="s">
        <v>21</v>
      </c>
      <c r="D49" s="1" t="s">
        <v>42</v>
      </c>
      <c r="F49" s="1" t="s">
        <v>57</v>
      </c>
      <c r="G49" s="1" t="s">
        <v>120</v>
      </c>
      <c r="H49" s="1" t="s">
        <v>100</v>
      </c>
      <c r="I49" s="1" t="s">
        <v>82</v>
      </c>
      <c r="J49" s="1" t="s">
        <v>27</v>
      </c>
      <c r="K49" s="1" t="s">
        <v>121</v>
      </c>
      <c r="L49" s="1" t="s">
        <v>29</v>
      </c>
      <c r="N49" s="1" t="s">
        <v>122</v>
      </c>
      <c r="O49" s="1" t="s">
        <v>46</v>
      </c>
      <c r="P49" s="1" t="s">
        <v>74</v>
      </c>
      <c r="Q49" s="1" t="s">
        <v>33</v>
      </c>
      <c r="R49" s="1" t="s">
        <v>29</v>
      </c>
      <c r="S49" s="1" t="s">
        <v>40</v>
      </c>
      <c r="T49" s="1">
        <v>3</v>
      </c>
      <c r="U49" s="1" t="s">
        <v>27</v>
      </c>
    </row>
    <row r="50" spans="1:21" ht="15.75" customHeight="1" x14ac:dyDescent="0.15">
      <c r="A50" s="2">
        <v>45251.56628082176</v>
      </c>
      <c r="B50" s="1" t="s">
        <v>20</v>
      </c>
      <c r="C50" s="1" t="s">
        <v>21</v>
      </c>
      <c r="D50" s="1" t="s">
        <v>60</v>
      </c>
      <c r="E50" s="1" t="s">
        <v>68</v>
      </c>
      <c r="F50" s="1" t="s">
        <v>23</v>
      </c>
      <c r="G50" s="1" t="s">
        <v>35</v>
      </c>
      <c r="H50" s="1" t="s">
        <v>123</v>
      </c>
      <c r="I50" s="1" t="s">
        <v>82</v>
      </c>
      <c r="J50" s="1" t="s">
        <v>27</v>
      </c>
      <c r="K50" s="1" t="s">
        <v>124</v>
      </c>
      <c r="L50" s="1" t="s">
        <v>29</v>
      </c>
      <c r="N50" s="1" t="s">
        <v>30</v>
      </c>
      <c r="O50" s="1" t="s">
        <v>39</v>
      </c>
      <c r="P50" s="1" t="s">
        <v>125</v>
      </c>
      <c r="Q50" s="1" t="s">
        <v>33</v>
      </c>
      <c r="R50" s="1" t="s">
        <v>29</v>
      </c>
      <c r="S50" s="1" t="s">
        <v>54</v>
      </c>
      <c r="T50" s="1">
        <v>5</v>
      </c>
      <c r="U50" s="1" t="s">
        <v>27</v>
      </c>
    </row>
    <row r="51" spans="1:21" ht="15.75" customHeight="1" x14ac:dyDescent="0.15">
      <c r="A51" s="2">
        <v>45251.569686979172</v>
      </c>
      <c r="B51" s="1" t="s">
        <v>41</v>
      </c>
      <c r="C51" s="1" t="s">
        <v>21</v>
      </c>
      <c r="D51" s="1" t="s">
        <v>42</v>
      </c>
      <c r="F51" s="1" t="s">
        <v>57</v>
      </c>
      <c r="G51" s="1" t="s">
        <v>43</v>
      </c>
      <c r="H51" s="1" t="s">
        <v>84</v>
      </c>
      <c r="I51" s="1" t="s">
        <v>63</v>
      </c>
      <c r="J51" s="1" t="s">
        <v>27</v>
      </c>
      <c r="K51" s="1" t="s">
        <v>126</v>
      </c>
      <c r="L51" s="1" t="s">
        <v>29</v>
      </c>
      <c r="N51" s="1" t="s">
        <v>66</v>
      </c>
      <c r="O51" s="1" t="s">
        <v>71</v>
      </c>
      <c r="P51" s="1" t="s">
        <v>74</v>
      </c>
      <c r="Q51" s="1" t="s">
        <v>33</v>
      </c>
      <c r="R51" s="1" t="s">
        <v>27</v>
      </c>
      <c r="S51" s="1" t="s">
        <v>54</v>
      </c>
      <c r="T51" s="1">
        <v>4</v>
      </c>
      <c r="U51" s="1" t="s">
        <v>27</v>
      </c>
    </row>
    <row r="52" spans="1:21" ht="15.75" customHeight="1" x14ac:dyDescent="0.15">
      <c r="A52" s="2">
        <v>45251.572188530088</v>
      </c>
      <c r="B52" s="1" t="s">
        <v>41</v>
      </c>
      <c r="C52" s="1" t="s">
        <v>21</v>
      </c>
      <c r="D52" s="1" t="s">
        <v>51</v>
      </c>
      <c r="F52" s="1" t="s">
        <v>57</v>
      </c>
      <c r="G52" s="1" t="s">
        <v>83</v>
      </c>
      <c r="H52" s="1" t="s">
        <v>81</v>
      </c>
      <c r="I52" s="1" t="s">
        <v>52</v>
      </c>
      <c r="J52" s="1" t="s">
        <v>29</v>
      </c>
      <c r="L52" s="1" t="s">
        <v>29</v>
      </c>
      <c r="N52" s="1" t="s">
        <v>30</v>
      </c>
      <c r="O52" s="1" t="s">
        <v>71</v>
      </c>
      <c r="P52" s="1" t="s">
        <v>50</v>
      </c>
      <c r="Q52" s="1" t="s">
        <v>33</v>
      </c>
      <c r="R52" s="1" t="s">
        <v>27</v>
      </c>
      <c r="S52" s="1" t="s">
        <v>54</v>
      </c>
      <c r="T52" s="1">
        <v>3</v>
      </c>
      <c r="U52" s="1" t="s">
        <v>29</v>
      </c>
    </row>
    <row r="53" spans="1:21" ht="13" x14ac:dyDescent="0.15">
      <c r="A53" s="2">
        <v>45251.572553344908</v>
      </c>
      <c r="B53" s="1" t="s">
        <v>41</v>
      </c>
      <c r="C53" s="1" t="s">
        <v>75</v>
      </c>
      <c r="D53" s="1" t="s">
        <v>60</v>
      </c>
      <c r="E53" s="1" t="s">
        <v>68</v>
      </c>
      <c r="F53" s="1" t="s">
        <v>47</v>
      </c>
      <c r="G53" s="1" t="s">
        <v>48</v>
      </c>
      <c r="H53" s="1" t="s">
        <v>127</v>
      </c>
      <c r="I53" s="1" t="s">
        <v>63</v>
      </c>
      <c r="J53" s="1" t="s">
        <v>29</v>
      </c>
      <c r="L53" s="1" t="s">
        <v>29</v>
      </c>
      <c r="N53" s="1" t="s">
        <v>38</v>
      </c>
      <c r="O53" s="1" t="s">
        <v>116</v>
      </c>
      <c r="P53" s="1" t="s">
        <v>74</v>
      </c>
      <c r="Q53" s="1" t="s">
        <v>33</v>
      </c>
      <c r="R53" s="1" t="s">
        <v>27</v>
      </c>
      <c r="S53" s="1" t="s">
        <v>54</v>
      </c>
      <c r="T53" s="1">
        <v>1</v>
      </c>
      <c r="U53" s="1" t="s">
        <v>29</v>
      </c>
    </row>
    <row r="54" spans="1:21" ht="13" x14ac:dyDescent="0.15">
      <c r="A54" s="2">
        <v>45251.5727687037</v>
      </c>
      <c r="B54" s="1" t="s">
        <v>20</v>
      </c>
      <c r="C54" s="1" t="s">
        <v>56</v>
      </c>
      <c r="D54" s="1" t="s">
        <v>51</v>
      </c>
      <c r="F54" s="1" t="s">
        <v>23</v>
      </c>
      <c r="G54" s="1" t="s">
        <v>43</v>
      </c>
      <c r="H54" s="1" t="s">
        <v>36</v>
      </c>
      <c r="I54" s="1" t="s">
        <v>52</v>
      </c>
      <c r="J54" s="1" t="s">
        <v>29</v>
      </c>
      <c r="L54" s="1" t="s">
        <v>29</v>
      </c>
      <c r="N54" s="1" t="s">
        <v>128</v>
      </c>
      <c r="O54" s="1" t="s">
        <v>46</v>
      </c>
      <c r="P54" s="1" t="s">
        <v>32</v>
      </c>
      <c r="Q54" s="1" t="s">
        <v>33</v>
      </c>
      <c r="R54" s="1" t="s">
        <v>29</v>
      </c>
      <c r="S54" s="1" t="s">
        <v>40</v>
      </c>
      <c r="T54" s="1">
        <v>4</v>
      </c>
      <c r="U54" s="1" t="s">
        <v>27</v>
      </c>
    </row>
    <row r="55" spans="1:21" ht="13" x14ac:dyDescent="0.15">
      <c r="A55" s="2">
        <v>45251.57277353009</v>
      </c>
      <c r="B55" s="1" t="s">
        <v>41</v>
      </c>
      <c r="C55" s="1" t="s">
        <v>21</v>
      </c>
      <c r="D55" s="1" t="s">
        <v>51</v>
      </c>
      <c r="F55" s="1" t="s">
        <v>47</v>
      </c>
      <c r="G55" s="1" t="s">
        <v>35</v>
      </c>
      <c r="H55" s="1" t="s">
        <v>129</v>
      </c>
      <c r="I55" s="1" t="s">
        <v>52</v>
      </c>
      <c r="J55" s="1" t="s">
        <v>29</v>
      </c>
      <c r="L55" s="1" t="s">
        <v>27</v>
      </c>
      <c r="M55" s="1" t="s">
        <v>130</v>
      </c>
      <c r="N55" s="1" t="s">
        <v>38</v>
      </c>
      <c r="O55" s="1" t="s">
        <v>46</v>
      </c>
      <c r="P55" s="1" t="s">
        <v>74</v>
      </c>
      <c r="Q55" s="1" t="s">
        <v>33</v>
      </c>
      <c r="R55" s="1" t="s">
        <v>29</v>
      </c>
      <c r="S55" s="1" t="s">
        <v>40</v>
      </c>
      <c r="T55" s="1">
        <v>4</v>
      </c>
      <c r="U55" s="1" t="s">
        <v>27</v>
      </c>
    </row>
    <row r="56" spans="1:21" ht="13" x14ac:dyDescent="0.15">
      <c r="A56" s="2">
        <v>45251.572801527778</v>
      </c>
      <c r="B56" s="1" t="s">
        <v>20</v>
      </c>
      <c r="C56" s="1" t="s">
        <v>21</v>
      </c>
      <c r="D56" s="1" t="s">
        <v>51</v>
      </c>
      <c r="F56" s="1" t="s">
        <v>23</v>
      </c>
      <c r="G56" s="1" t="s">
        <v>43</v>
      </c>
      <c r="H56" s="1" t="s">
        <v>49</v>
      </c>
      <c r="I56" s="1" t="s">
        <v>82</v>
      </c>
      <c r="J56" s="1" t="s">
        <v>29</v>
      </c>
      <c r="L56" s="1" t="s">
        <v>29</v>
      </c>
      <c r="N56" s="1" t="s">
        <v>38</v>
      </c>
      <c r="O56" s="1" t="s">
        <v>46</v>
      </c>
      <c r="P56" s="1" t="s">
        <v>32</v>
      </c>
      <c r="Q56" s="1" t="s">
        <v>33</v>
      </c>
      <c r="R56" s="1" t="s">
        <v>29</v>
      </c>
      <c r="S56" s="1" t="s">
        <v>67</v>
      </c>
      <c r="T56" s="1">
        <v>4</v>
      </c>
      <c r="U56" s="1" t="s">
        <v>27</v>
      </c>
    </row>
    <row r="57" spans="1:21" ht="13" x14ac:dyDescent="0.15">
      <c r="A57" s="2">
        <v>45251.573172986115</v>
      </c>
      <c r="B57" s="1" t="s">
        <v>41</v>
      </c>
      <c r="C57" s="1" t="s">
        <v>21</v>
      </c>
      <c r="D57" s="1" t="s">
        <v>51</v>
      </c>
      <c r="F57" s="1" t="s">
        <v>47</v>
      </c>
      <c r="G57" s="1" t="s">
        <v>48</v>
      </c>
      <c r="H57" s="1" t="s">
        <v>70</v>
      </c>
      <c r="I57" s="1" t="s">
        <v>63</v>
      </c>
      <c r="J57" s="1" t="s">
        <v>29</v>
      </c>
      <c r="L57" s="1" t="s">
        <v>29</v>
      </c>
      <c r="N57" s="1" t="s">
        <v>66</v>
      </c>
      <c r="O57" s="1" t="s">
        <v>46</v>
      </c>
      <c r="P57" s="1" t="s">
        <v>32</v>
      </c>
      <c r="Q57" s="1" t="s">
        <v>33</v>
      </c>
      <c r="R57" s="1" t="s">
        <v>29</v>
      </c>
      <c r="S57" s="1" t="s">
        <v>40</v>
      </c>
      <c r="T57" s="1">
        <v>4</v>
      </c>
      <c r="U57" s="1" t="s">
        <v>27</v>
      </c>
    </row>
    <row r="58" spans="1:21" ht="13" x14ac:dyDescent="0.15">
      <c r="A58" s="2">
        <v>45251.573509872687</v>
      </c>
      <c r="B58" s="1" t="s">
        <v>41</v>
      </c>
      <c r="C58" s="1" t="s">
        <v>21</v>
      </c>
      <c r="D58" s="1" t="s">
        <v>51</v>
      </c>
      <c r="F58" s="1" t="s">
        <v>23</v>
      </c>
      <c r="G58" s="1" t="s">
        <v>35</v>
      </c>
      <c r="H58" s="1" t="s">
        <v>84</v>
      </c>
      <c r="I58" s="1" t="s">
        <v>63</v>
      </c>
      <c r="J58" s="1" t="s">
        <v>29</v>
      </c>
      <c r="L58" s="1" t="s">
        <v>29</v>
      </c>
      <c r="N58" s="1" t="s">
        <v>66</v>
      </c>
      <c r="O58" s="1" t="s">
        <v>116</v>
      </c>
      <c r="P58" s="1" t="s">
        <v>50</v>
      </c>
      <c r="Q58" s="1" t="s">
        <v>33</v>
      </c>
      <c r="R58" s="1" t="s">
        <v>29</v>
      </c>
      <c r="S58" s="1" t="s">
        <v>54</v>
      </c>
      <c r="T58" s="1">
        <v>3</v>
      </c>
      <c r="U58" s="1" t="s">
        <v>27</v>
      </c>
    </row>
    <row r="59" spans="1:21" ht="13" x14ac:dyDescent="0.15">
      <c r="A59" s="2">
        <v>45251.573550925925</v>
      </c>
      <c r="B59" s="1" t="s">
        <v>41</v>
      </c>
      <c r="C59" s="1" t="s">
        <v>21</v>
      </c>
      <c r="D59" s="1" t="s">
        <v>51</v>
      </c>
      <c r="F59" s="1" t="s">
        <v>23</v>
      </c>
      <c r="G59" s="1" t="s">
        <v>43</v>
      </c>
      <c r="H59" s="1" t="s">
        <v>89</v>
      </c>
      <c r="I59" s="1" t="s">
        <v>26</v>
      </c>
      <c r="J59" s="1" t="s">
        <v>29</v>
      </c>
      <c r="L59" s="1" t="s">
        <v>29</v>
      </c>
      <c r="N59" s="1" t="s">
        <v>38</v>
      </c>
      <c r="O59" s="1" t="s">
        <v>71</v>
      </c>
      <c r="P59" s="1" t="s">
        <v>32</v>
      </c>
      <c r="Q59" s="1" t="s">
        <v>33</v>
      </c>
      <c r="R59" s="1" t="s">
        <v>29</v>
      </c>
      <c r="S59" s="1" t="s">
        <v>40</v>
      </c>
      <c r="T59" s="1">
        <v>4</v>
      </c>
      <c r="U59" s="1" t="s">
        <v>27</v>
      </c>
    </row>
    <row r="60" spans="1:21" ht="13" x14ac:dyDescent="0.15">
      <c r="A60" s="2">
        <v>45251.573635497683</v>
      </c>
      <c r="B60" s="1" t="s">
        <v>41</v>
      </c>
      <c r="C60" s="1" t="s">
        <v>21</v>
      </c>
      <c r="D60" s="1" t="s">
        <v>51</v>
      </c>
      <c r="F60" s="1" t="s">
        <v>23</v>
      </c>
      <c r="G60" s="1" t="s">
        <v>43</v>
      </c>
      <c r="H60" s="1" t="s">
        <v>84</v>
      </c>
      <c r="I60" s="1" t="s">
        <v>63</v>
      </c>
      <c r="J60" s="1" t="s">
        <v>29</v>
      </c>
      <c r="L60" s="1" t="s">
        <v>29</v>
      </c>
      <c r="N60" s="1" t="s">
        <v>30</v>
      </c>
      <c r="O60" s="1" t="s">
        <v>39</v>
      </c>
      <c r="P60" s="1" t="s">
        <v>74</v>
      </c>
      <c r="Q60" s="1" t="s">
        <v>33</v>
      </c>
      <c r="R60" s="1" t="s">
        <v>29</v>
      </c>
      <c r="S60" s="1" t="s">
        <v>67</v>
      </c>
      <c r="T60" s="1">
        <v>4</v>
      </c>
      <c r="U60" s="1" t="s">
        <v>27</v>
      </c>
    </row>
    <row r="61" spans="1:21" ht="13" x14ac:dyDescent="0.15">
      <c r="A61" s="2">
        <v>45251.573923240736</v>
      </c>
      <c r="B61" s="1" t="s">
        <v>41</v>
      </c>
      <c r="C61" s="1" t="s">
        <v>21</v>
      </c>
      <c r="D61" s="1" t="s">
        <v>51</v>
      </c>
      <c r="F61" s="1" t="s">
        <v>23</v>
      </c>
      <c r="G61" s="1" t="s">
        <v>43</v>
      </c>
      <c r="H61" s="1" t="s">
        <v>44</v>
      </c>
      <c r="I61" s="1" t="s">
        <v>52</v>
      </c>
      <c r="J61" s="1" t="s">
        <v>29</v>
      </c>
      <c r="L61" s="1" t="s">
        <v>27</v>
      </c>
      <c r="M61" s="1" t="s">
        <v>131</v>
      </c>
      <c r="N61" s="1" t="s">
        <v>38</v>
      </c>
      <c r="O61" s="1" t="s">
        <v>46</v>
      </c>
      <c r="P61" s="1" t="s">
        <v>64</v>
      </c>
      <c r="Q61" s="1" t="s">
        <v>114</v>
      </c>
      <c r="R61" s="1" t="s">
        <v>27</v>
      </c>
      <c r="S61" s="1" t="s">
        <v>40</v>
      </c>
      <c r="T61" s="1">
        <v>4</v>
      </c>
      <c r="U61" s="1" t="s">
        <v>27</v>
      </c>
    </row>
    <row r="62" spans="1:21" ht="13" x14ac:dyDescent="0.15">
      <c r="A62" s="2">
        <v>45251.57401236111</v>
      </c>
      <c r="B62" s="1" t="s">
        <v>20</v>
      </c>
      <c r="C62" s="1" t="s">
        <v>21</v>
      </c>
      <c r="D62" s="1" t="s">
        <v>51</v>
      </c>
      <c r="F62" s="1" t="s">
        <v>23</v>
      </c>
      <c r="G62" s="1" t="s">
        <v>43</v>
      </c>
      <c r="H62" s="1" t="s">
        <v>132</v>
      </c>
      <c r="I62" s="1" t="s">
        <v>63</v>
      </c>
      <c r="J62" s="1" t="s">
        <v>29</v>
      </c>
      <c r="L62" s="1" t="s">
        <v>29</v>
      </c>
      <c r="N62" s="1" t="s">
        <v>38</v>
      </c>
      <c r="O62" s="1" t="s">
        <v>71</v>
      </c>
      <c r="P62" s="1" t="s">
        <v>74</v>
      </c>
      <c r="Q62" s="1" t="s">
        <v>33</v>
      </c>
      <c r="R62" s="1" t="s">
        <v>29</v>
      </c>
      <c r="S62" s="1" t="s">
        <v>54</v>
      </c>
      <c r="T62" s="1">
        <v>3</v>
      </c>
      <c r="U62" s="1" t="s">
        <v>29</v>
      </c>
    </row>
    <row r="63" spans="1:21" ht="13" x14ac:dyDescent="0.15">
      <c r="A63" s="2">
        <v>45251.574288703705</v>
      </c>
      <c r="B63" s="1" t="s">
        <v>41</v>
      </c>
      <c r="C63" s="1" t="s">
        <v>56</v>
      </c>
      <c r="D63" s="1" t="s">
        <v>51</v>
      </c>
      <c r="F63" s="1" t="s">
        <v>47</v>
      </c>
      <c r="G63" s="1" t="s">
        <v>35</v>
      </c>
      <c r="H63" s="1" t="s">
        <v>103</v>
      </c>
      <c r="I63" s="1" t="s">
        <v>26</v>
      </c>
      <c r="J63" s="1" t="s">
        <v>29</v>
      </c>
      <c r="L63" s="1" t="s">
        <v>29</v>
      </c>
      <c r="N63" s="1" t="s">
        <v>38</v>
      </c>
      <c r="O63" s="1" t="s">
        <v>71</v>
      </c>
      <c r="P63" s="1" t="s">
        <v>74</v>
      </c>
      <c r="Q63" s="1" t="s">
        <v>33</v>
      </c>
      <c r="R63" s="1" t="s">
        <v>29</v>
      </c>
      <c r="S63" s="1" t="s">
        <v>40</v>
      </c>
      <c r="T63" s="1">
        <v>4</v>
      </c>
      <c r="U63" s="1" t="s">
        <v>27</v>
      </c>
    </row>
    <row r="64" spans="1:21" ht="13" x14ac:dyDescent="0.15">
      <c r="A64" s="2">
        <v>45251.574362858795</v>
      </c>
      <c r="B64" s="1" t="s">
        <v>41</v>
      </c>
      <c r="C64" s="1" t="s">
        <v>56</v>
      </c>
      <c r="D64" s="1" t="s">
        <v>51</v>
      </c>
      <c r="F64" s="1" t="s">
        <v>47</v>
      </c>
      <c r="G64" s="1" t="s">
        <v>48</v>
      </c>
      <c r="H64" s="1" t="s">
        <v>73</v>
      </c>
      <c r="I64" s="1" t="s">
        <v>63</v>
      </c>
      <c r="J64" s="1" t="s">
        <v>29</v>
      </c>
      <c r="L64" s="1" t="s">
        <v>29</v>
      </c>
      <c r="N64" s="1" t="s">
        <v>38</v>
      </c>
      <c r="O64" s="1" t="s">
        <v>46</v>
      </c>
      <c r="P64" s="1" t="s">
        <v>32</v>
      </c>
      <c r="Q64" s="1" t="s">
        <v>33</v>
      </c>
      <c r="R64" s="1" t="s">
        <v>29</v>
      </c>
      <c r="S64" s="1" t="s">
        <v>40</v>
      </c>
      <c r="T64" s="1">
        <v>3</v>
      </c>
      <c r="U64" s="1" t="s">
        <v>29</v>
      </c>
    </row>
    <row r="65" spans="1:21" ht="13" x14ac:dyDescent="0.15">
      <c r="A65" s="2">
        <v>45251.574598113424</v>
      </c>
      <c r="B65" s="1" t="s">
        <v>41</v>
      </c>
      <c r="C65" s="1" t="s">
        <v>21</v>
      </c>
      <c r="D65" s="1" t="s">
        <v>51</v>
      </c>
      <c r="F65" s="1" t="s">
        <v>47</v>
      </c>
      <c r="G65" s="1" t="s">
        <v>48</v>
      </c>
      <c r="H65" s="1" t="s">
        <v>133</v>
      </c>
      <c r="I65" s="1" t="s">
        <v>63</v>
      </c>
      <c r="J65" s="1" t="s">
        <v>29</v>
      </c>
      <c r="L65" s="1" t="s">
        <v>29</v>
      </c>
      <c r="N65" s="1" t="s">
        <v>30</v>
      </c>
      <c r="O65" s="1" t="s">
        <v>134</v>
      </c>
      <c r="P65" s="1" t="s">
        <v>74</v>
      </c>
      <c r="Q65" s="1" t="s">
        <v>135</v>
      </c>
      <c r="R65" s="1" t="s">
        <v>27</v>
      </c>
      <c r="S65" s="1" t="s">
        <v>54</v>
      </c>
      <c r="T65" s="1">
        <v>3</v>
      </c>
      <c r="U65" s="1" t="s">
        <v>29</v>
      </c>
    </row>
    <row r="66" spans="1:21" ht="13" x14ac:dyDescent="0.15">
      <c r="A66" s="2">
        <v>45251.574656921293</v>
      </c>
      <c r="B66" s="1" t="s">
        <v>41</v>
      </c>
      <c r="C66" s="1" t="s">
        <v>56</v>
      </c>
      <c r="D66" s="1" t="s">
        <v>51</v>
      </c>
      <c r="F66" s="1" t="s">
        <v>23</v>
      </c>
      <c r="G66" s="1" t="s">
        <v>43</v>
      </c>
      <c r="H66" s="1" t="s">
        <v>129</v>
      </c>
      <c r="I66" s="1" t="s">
        <v>63</v>
      </c>
      <c r="J66" s="1" t="s">
        <v>29</v>
      </c>
      <c r="L66" s="1" t="s">
        <v>29</v>
      </c>
      <c r="N66" s="1" t="s">
        <v>38</v>
      </c>
      <c r="O66" s="1" t="s">
        <v>46</v>
      </c>
      <c r="P66" s="1" t="s">
        <v>32</v>
      </c>
      <c r="Q66" s="1" t="s">
        <v>33</v>
      </c>
      <c r="R66" s="1" t="s">
        <v>29</v>
      </c>
      <c r="S66" s="1" t="s">
        <v>40</v>
      </c>
      <c r="T66" s="1">
        <v>3</v>
      </c>
      <c r="U66" s="1" t="s">
        <v>27</v>
      </c>
    </row>
    <row r="67" spans="1:21" ht="13" x14ac:dyDescent="0.15">
      <c r="A67" s="2">
        <v>45251.574717384261</v>
      </c>
      <c r="B67" s="1" t="s">
        <v>41</v>
      </c>
      <c r="C67" s="1" t="s">
        <v>56</v>
      </c>
      <c r="D67" s="1" t="s">
        <v>51</v>
      </c>
      <c r="F67" s="1" t="s">
        <v>23</v>
      </c>
      <c r="G67" s="1" t="s">
        <v>43</v>
      </c>
      <c r="H67" s="1" t="s">
        <v>93</v>
      </c>
      <c r="I67" s="1" t="s">
        <v>26</v>
      </c>
      <c r="J67" s="1" t="s">
        <v>27</v>
      </c>
      <c r="K67" s="1" t="s">
        <v>136</v>
      </c>
      <c r="L67" s="1" t="s">
        <v>27</v>
      </c>
      <c r="M67" s="1" t="s">
        <v>137</v>
      </c>
      <c r="N67" s="1" t="s">
        <v>30</v>
      </c>
      <c r="O67" s="1" t="s">
        <v>39</v>
      </c>
      <c r="P67" s="1" t="s">
        <v>74</v>
      </c>
      <c r="Q67" s="1" t="s">
        <v>33</v>
      </c>
      <c r="R67" s="1" t="s">
        <v>29</v>
      </c>
      <c r="S67" s="1" t="s">
        <v>67</v>
      </c>
      <c r="T67" s="1">
        <v>3</v>
      </c>
      <c r="U67" s="1" t="s">
        <v>27</v>
      </c>
    </row>
    <row r="68" spans="1:21" ht="13" x14ac:dyDescent="0.15">
      <c r="A68" s="2">
        <v>45251.574888287039</v>
      </c>
      <c r="B68" s="1" t="s">
        <v>41</v>
      </c>
      <c r="C68" s="1" t="s">
        <v>56</v>
      </c>
      <c r="D68" s="1" t="s">
        <v>51</v>
      </c>
      <c r="F68" s="1" t="s">
        <v>23</v>
      </c>
      <c r="G68" s="1" t="s">
        <v>35</v>
      </c>
      <c r="H68" s="1" t="s">
        <v>93</v>
      </c>
      <c r="I68" s="1" t="s">
        <v>26</v>
      </c>
      <c r="J68" s="1" t="s">
        <v>27</v>
      </c>
      <c r="K68" s="1" t="s">
        <v>138</v>
      </c>
      <c r="L68" s="1" t="s">
        <v>29</v>
      </c>
      <c r="N68" s="1" t="s">
        <v>30</v>
      </c>
      <c r="O68" s="1" t="s">
        <v>71</v>
      </c>
      <c r="P68" s="1" t="s">
        <v>32</v>
      </c>
      <c r="Q68" s="1" t="s">
        <v>33</v>
      </c>
      <c r="R68" s="1" t="s">
        <v>27</v>
      </c>
      <c r="S68" s="1" t="s">
        <v>54</v>
      </c>
      <c r="T68" s="1">
        <v>4</v>
      </c>
      <c r="U68" s="1" t="s">
        <v>29</v>
      </c>
    </row>
    <row r="69" spans="1:21" ht="13" x14ac:dyDescent="0.15">
      <c r="A69" s="2">
        <v>45251.575058078699</v>
      </c>
      <c r="B69" s="1" t="s">
        <v>20</v>
      </c>
      <c r="C69" s="1" t="s">
        <v>72</v>
      </c>
      <c r="D69" s="1" t="s">
        <v>60</v>
      </c>
      <c r="E69" s="1" t="s">
        <v>68</v>
      </c>
      <c r="F69" s="1" t="s">
        <v>23</v>
      </c>
      <c r="G69" s="1" t="s">
        <v>43</v>
      </c>
      <c r="H69" s="1" t="s">
        <v>81</v>
      </c>
      <c r="I69" s="1" t="s">
        <v>63</v>
      </c>
      <c r="J69" s="1" t="s">
        <v>29</v>
      </c>
      <c r="L69" s="1" t="s">
        <v>29</v>
      </c>
      <c r="N69" s="1" t="s">
        <v>38</v>
      </c>
      <c r="O69" s="1" t="s">
        <v>46</v>
      </c>
      <c r="P69" s="1" t="s">
        <v>50</v>
      </c>
      <c r="Q69" s="1" t="s">
        <v>33</v>
      </c>
      <c r="R69" s="1" t="s">
        <v>27</v>
      </c>
      <c r="S69" s="1" t="s">
        <v>54</v>
      </c>
      <c r="T69" s="1">
        <v>2</v>
      </c>
      <c r="U69" s="1" t="s">
        <v>29</v>
      </c>
    </row>
    <row r="70" spans="1:21" ht="13" x14ac:dyDescent="0.15">
      <c r="A70" s="2">
        <v>45251.57547408565</v>
      </c>
      <c r="B70" s="1" t="s">
        <v>41</v>
      </c>
      <c r="C70" s="1" t="s">
        <v>56</v>
      </c>
      <c r="D70" s="1" t="s">
        <v>51</v>
      </c>
      <c r="F70" s="1" t="s">
        <v>47</v>
      </c>
      <c r="G70" s="1" t="s">
        <v>48</v>
      </c>
      <c r="H70" s="1" t="s">
        <v>84</v>
      </c>
      <c r="I70" s="1" t="s">
        <v>52</v>
      </c>
      <c r="J70" s="1" t="s">
        <v>29</v>
      </c>
      <c r="L70" s="1" t="s">
        <v>29</v>
      </c>
      <c r="N70" s="1" t="s">
        <v>66</v>
      </c>
      <c r="O70" s="1" t="s">
        <v>31</v>
      </c>
      <c r="P70" s="1" t="s">
        <v>32</v>
      </c>
      <c r="Q70" s="1" t="s">
        <v>33</v>
      </c>
      <c r="R70" s="1" t="s">
        <v>27</v>
      </c>
      <c r="S70" s="1" t="s">
        <v>40</v>
      </c>
      <c r="T70" s="1">
        <v>3</v>
      </c>
      <c r="U70" s="1" t="s">
        <v>27</v>
      </c>
    </row>
    <row r="71" spans="1:21" ht="13" x14ac:dyDescent="0.15">
      <c r="A71" s="2">
        <v>45251.575524965279</v>
      </c>
      <c r="B71" s="1" t="s">
        <v>20</v>
      </c>
      <c r="C71" s="1" t="s">
        <v>21</v>
      </c>
      <c r="D71" s="1" t="s">
        <v>51</v>
      </c>
      <c r="F71" s="1" t="s">
        <v>47</v>
      </c>
      <c r="G71" s="1" t="s">
        <v>35</v>
      </c>
      <c r="H71" s="1" t="s">
        <v>81</v>
      </c>
      <c r="I71" s="1" t="s">
        <v>26</v>
      </c>
      <c r="J71" s="1" t="s">
        <v>29</v>
      </c>
      <c r="L71" s="1" t="s">
        <v>29</v>
      </c>
      <c r="N71" s="1" t="s">
        <v>30</v>
      </c>
      <c r="O71" s="1" t="s">
        <v>31</v>
      </c>
      <c r="P71" s="1" t="s">
        <v>50</v>
      </c>
      <c r="Q71" s="1" t="s">
        <v>33</v>
      </c>
      <c r="R71" s="1" t="s">
        <v>27</v>
      </c>
      <c r="S71" s="1" t="s">
        <v>54</v>
      </c>
      <c r="T71" s="1">
        <v>2</v>
      </c>
      <c r="U71" s="1" t="s">
        <v>27</v>
      </c>
    </row>
    <row r="72" spans="1:21" ht="13" x14ac:dyDescent="0.15">
      <c r="A72" s="2">
        <v>45251.576024421302</v>
      </c>
      <c r="B72" s="1" t="s">
        <v>41</v>
      </c>
      <c r="C72" s="1" t="s">
        <v>56</v>
      </c>
      <c r="D72" s="1" t="s">
        <v>51</v>
      </c>
      <c r="F72" s="1" t="s">
        <v>57</v>
      </c>
      <c r="G72" s="1" t="s">
        <v>83</v>
      </c>
      <c r="H72" s="1" t="s">
        <v>79</v>
      </c>
      <c r="I72" s="1" t="s">
        <v>52</v>
      </c>
      <c r="J72" s="1" t="s">
        <v>27</v>
      </c>
      <c r="K72" s="1" t="s">
        <v>139</v>
      </c>
      <c r="L72" s="1" t="s">
        <v>27</v>
      </c>
      <c r="M72" s="1" t="s">
        <v>140</v>
      </c>
      <c r="N72" s="1" t="s">
        <v>38</v>
      </c>
      <c r="O72" s="1" t="s">
        <v>101</v>
      </c>
      <c r="P72" s="1" t="s">
        <v>32</v>
      </c>
      <c r="Q72" s="1" t="s">
        <v>33</v>
      </c>
      <c r="R72" s="1" t="s">
        <v>29</v>
      </c>
      <c r="S72" s="1" t="s">
        <v>67</v>
      </c>
      <c r="T72" s="1">
        <v>4</v>
      </c>
      <c r="U72" s="1" t="s">
        <v>27</v>
      </c>
    </row>
    <row r="73" spans="1:21" ht="13" x14ac:dyDescent="0.15">
      <c r="A73" s="2">
        <v>45251.576357858794</v>
      </c>
      <c r="B73" s="1" t="s">
        <v>41</v>
      </c>
      <c r="C73" s="1" t="s">
        <v>56</v>
      </c>
      <c r="D73" s="1" t="s">
        <v>51</v>
      </c>
      <c r="F73" s="1" t="s">
        <v>47</v>
      </c>
      <c r="G73" s="1" t="s">
        <v>43</v>
      </c>
      <c r="H73" s="1" t="s">
        <v>141</v>
      </c>
      <c r="I73" s="1" t="s">
        <v>26</v>
      </c>
      <c r="J73" s="1" t="s">
        <v>27</v>
      </c>
      <c r="K73" s="1" t="s">
        <v>142</v>
      </c>
      <c r="L73" s="1" t="s">
        <v>27</v>
      </c>
      <c r="M73" s="1" t="s">
        <v>143</v>
      </c>
      <c r="N73" s="1" t="s">
        <v>38</v>
      </c>
      <c r="O73" s="1" t="s">
        <v>116</v>
      </c>
      <c r="P73" s="1" t="s">
        <v>74</v>
      </c>
      <c r="Q73" s="1" t="s">
        <v>33</v>
      </c>
      <c r="R73" s="1" t="s">
        <v>29</v>
      </c>
      <c r="S73" s="1" t="s">
        <v>40</v>
      </c>
      <c r="T73" s="1">
        <v>3</v>
      </c>
      <c r="U73" s="1" t="s">
        <v>27</v>
      </c>
    </row>
    <row r="74" spans="1:21" ht="13" x14ac:dyDescent="0.15">
      <c r="A74" s="2">
        <v>45251.576561678245</v>
      </c>
      <c r="B74" s="1" t="s">
        <v>41</v>
      </c>
      <c r="C74" s="1" t="s">
        <v>21</v>
      </c>
      <c r="D74" s="1" t="s">
        <v>42</v>
      </c>
      <c r="F74" s="1" t="s">
        <v>23</v>
      </c>
      <c r="G74" s="1" t="s">
        <v>35</v>
      </c>
      <c r="H74" s="1" t="s">
        <v>103</v>
      </c>
      <c r="I74" s="1" t="s">
        <v>26</v>
      </c>
      <c r="J74" s="1" t="s">
        <v>29</v>
      </c>
      <c r="L74" s="1" t="s">
        <v>29</v>
      </c>
      <c r="N74" s="1" t="s">
        <v>38</v>
      </c>
      <c r="O74" s="1" t="s">
        <v>31</v>
      </c>
      <c r="P74" s="1" t="s">
        <v>74</v>
      </c>
      <c r="Q74" s="1" t="s">
        <v>33</v>
      </c>
      <c r="R74" s="1" t="s">
        <v>29</v>
      </c>
      <c r="S74" s="1" t="s">
        <v>67</v>
      </c>
      <c r="T74" s="1">
        <v>3</v>
      </c>
      <c r="U74" s="1" t="s">
        <v>27</v>
      </c>
    </row>
    <row r="75" spans="1:21" ht="13" x14ac:dyDescent="0.15">
      <c r="A75" s="2">
        <v>45251.577017731484</v>
      </c>
      <c r="B75" s="1" t="s">
        <v>20</v>
      </c>
      <c r="C75" s="1" t="s">
        <v>56</v>
      </c>
      <c r="D75" s="1" t="s">
        <v>51</v>
      </c>
      <c r="F75" s="1" t="s">
        <v>23</v>
      </c>
      <c r="G75" s="1" t="s">
        <v>35</v>
      </c>
      <c r="H75" s="1" t="s">
        <v>81</v>
      </c>
      <c r="I75" s="1" t="s">
        <v>63</v>
      </c>
      <c r="J75" s="1" t="s">
        <v>29</v>
      </c>
      <c r="L75" s="1" t="s">
        <v>29</v>
      </c>
      <c r="N75" s="1" t="s">
        <v>38</v>
      </c>
      <c r="O75" s="1" t="s">
        <v>31</v>
      </c>
      <c r="P75" s="1" t="s">
        <v>50</v>
      </c>
      <c r="Q75" s="1" t="s">
        <v>114</v>
      </c>
      <c r="R75" s="1" t="s">
        <v>29</v>
      </c>
      <c r="S75" s="1" t="s">
        <v>54</v>
      </c>
      <c r="T75" s="1">
        <v>5</v>
      </c>
      <c r="U75" s="1" t="s">
        <v>27</v>
      </c>
    </row>
    <row r="76" spans="1:21" ht="13" x14ac:dyDescent="0.15">
      <c r="A76" s="2">
        <v>45251.577120057875</v>
      </c>
      <c r="B76" s="1" t="s">
        <v>20</v>
      </c>
      <c r="C76" s="1" t="s">
        <v>56</v>
      </c>
      <c r="D76" s="1" t="s">
        <v>51</v>
      </c>
      <c r="F76" s="1" t="s">
        <v>23</v>
      </c>
      <c r="G76" s="1" t="s">
        <v>43</v>
      </c>
      <c r="H76" s="1" t="s">
        <v>49</v>
      </c>
      <c r="I76" s="1" t="s">
        <v>82</v>
      </c>
      <c r="J76" s="1" t="s">
        <v>29</v>
      </c>
      <c r="L76" s="1" t="s">
        <v>29</v>
      </c>
      <c r="N76" s="1" t="s">
        <v>38</v>
      </c>
      <c r="O76" s="1" t="s">
        <v>31</v>
      </c>
      <c r="P76" s="1" t="s">
        <v>50</v>
      </c>
      <c r="Q76" s="1" t="s">
        <v>144</v>
      </c>
      <c r="R76" s="1" t="s">
        <v>29</v>
      </c>
      <c r="S76" s="1" t="s">
        <v>67</v>
      </c>
      <c r="T76" s="1">
        <v>4</v>
      </c>
      <c r="U76" s="1" t="s">
        <v>27</v>
      </c>
    </row>
    <row r="77" spans="1:21" ht="13" x14ac:dyDescent="0.15">
      <c r="A77" s="2">
        <v>45251.57730524306</v>
      </c>
      <c r="B77" s="1" t="s">
        <v>41</v>
      </c>
      <c r="C77" s="1" t="s">
        <v>21</v>
      </c>
      <c r="D77" s="1" t="s">
        <v>51</v>
      </c>
      <c r="F77" s="1" t="s">
        <v>23</v>
      </c>
      <c r="G77" s="1" t="s">
        <v>43</v>
      </c>
      <c r="H77" s="1" t="s">
        <v>81</v>
      </c>
      <c r="I77" s="1" t="s">
        <v>26</v>
      </c>
      <c r="J77" s="1" t="s">
        <v>27</v>
      </c>
      <c r="K77" s="1" t="s">
        <v>145</v>
      </c>
      <c r="L77" s="1" t="s">
        <v>29</v>
      </c>
      <c r="N77" s="1" t="s">
        <v>30</v>
      </c>
      <c r="O77" s="1" t="s">
        <v>46</v>
      </c>
      <c r="P77" s="1" t="s">
        <v>74</v>
      </c>
      <c r="Q77" s="1" t="s">
        <v>33</v>
      </c>
      <c r="R77" s="1" t="s">
        <v>29</v>
      </c>
      <c r="S77" s="1" t="s">
        <v>40</v>
      </c>
      <c r="T77" s="1">
        <v>4</v>
      </c>
      <c r="U77" s="1" t="s">
        <v>27</v>
      </c>
    </row>
    <row r="78" spans="1:21" ht="13" x14ac:dyDescent="0.15">
      <c r="A78" s="2">
        <v>45251.57745582176</v>
      </c>
      <c r="B78" s="1" t="s">
        <v>20</v>
      </c>
      <c r="C78" s="1" t="s">
        <v>56</v>
      </c>
      <c r="D78" s="1" t="s">
        <v>51</v>
      </c>
      <c r="F78" s="1" t="s">
        <v>23</v>
      </c>
      <c r="G78" s="1" t="s">
        <v>48</v>
      </c>
      <c r="H78" s="1" t="s">
        <v>146</v>
      </c>
      <c r="I78" s="1" t="s">
        <v>52</v>
      </c>
      <c r="J78" s="1" t="s">
        <v>29</v>
      </c>
      <c r="L78" s="1" t="s">
        <v>29</v>
      </c>
      <c r="N78" s="1" t="s">
        <v>66</v>
      </c>
      <c r="O78" s="1" t="s">
        <v>147</v>
      </c>
      <c r="P78" s="1" t="s">
        <v>74</v>
      </c>
      <c r="Q78" s="1" t="s">
        <v>33</v>
      </c>
      <c r="R78" s="1" t="s">
        <v>27</v>
      </c>
      <c r="S78" s="1" t="s">
        <v>54</v>
      </c>
      <c r="T78" s="1">
        <v>3</v>
      </c>
      <c r="U78" s="1" t="s">
        <v>27</v>
      </c>
    </row>
    <row r="79" spans="1:21" ht="13" x14ac:dyDescent="0.15">
      <c r="A79" s="2">
        <v>45251.577469525466</v>
      </c>
      <c r="B79" s="1" t="s">
        <v>20</v>
      </c>
      <c r="C79" s="1" t="s">
        <v>56</v>
      </c>
      <c r="D79" s="1" t="s">
        <v>51</v>
      </c>
      <c r="F79" s="1" t="s">
        <v>69</v>
      </c>
      <c r="G79" s="1" t="s">
        <v>48</v>
      </c>
      <c r="H79" s="1" t="s">
        <v>84</v>
      </c>
      <c r="I79" s="1" t="s">
        <v>82</v>
      </c>
      <c r="J79" s="1" t="s">
        <v>27</v>
      </c>
      <c r="K79" s="1" t="s">
        <v>148</v>
      </c>
      <c r="L79" s="1" t="s">
        <v>29</v>
      </c>
      <c r="N79" s="1" t="s">
        <v>30</v>
      </c>
      <c r="O79" s="1" t="s">
        <v>71</v>
      </c>
      <c r="P79" s="1" t="s">
        <v>74</v>
      </c>
      <c r="Q79" s="1" t="s">
        <v>53</v>
      </c>
      <c r="R79" s="1" t="s">
        <v>27</v>
      </c>
      <c r="S79" s="1" t="s">
        <v>54</v>
      </c>
      <c r="T79" s="1">
        <v>4</v>
      </c>
      <c r="U79" s="1" t="s">
        <v>29</v>
      </c>
    </row>
    <row r="80" spans="1:21" ht="13" x14ac:dyDescent="0.15">
      <c r="A80" s="2">
        <v>45251.577569594912</v>
      </c>
      <c r="B80" s="1" t="s">
        <v>20</v>
      </c>
      <c r="C80" s="1" t="s">
        <v>56</v>
      </c>
      <c r="D80" s="1" t="s">
        <v>51</v>
      </c>
      <c r="F80" s="1" t="s">
        <v>47</v>
      </c>
      <c r="G80" s="1" t="s">
        <v>48</v>
      </c>
      <c r="H80" s="1" t="s">
        <v>146</v>
      </c>
      <c r="I80" s="1" t="s">
        <v>63</v>
      </c>
      <c r="J80" s="1" t="s">
        <v>29</v>
      </c>
      <c r="L80" s="1" t="s">
        <v>29</v>
      </c>
      <c r="N80" s="1" t="s">
        <v>38</v>
      </c>
      <c r="O80" s="1" t="s">
        <v>71</v>
      </c>
      <c r="P80" s="1" t="s">
        <v>74</v>
      </c>
      <c r="Q80" s="1" t="s">
        <v>53</v>
      </c>
      <c r="R80" s="1" t="s">
        <v>27</v>
      </c>
      <c r="S80" s="1" t="s">
        <v>54</v>
      </c>
      <c r="T80" s="1">
        <v>3</v>
      </c>
      <c r="U80" s="1" t="s">
        <v>27</v>
      </c>
    </row>
    <row r="81" spans="1:21" ht="13" x14ac:dyDescent="0.15">
      <c r="A81" s="2">
        <v>45251.577619525458</v>
      </c>
      <c r="B81" s="1" t="s">
        <v>20</v>
      </c>
      <c r="C81" s="1" t="s">
        <v>56</v>
      </c>
      <c r="D81" s="1" t="s">
        <v>51</v>
      </c>
      <c r="F81" s="1" t="s">
        <v>47</v>
      </c>
      <c r="G81" s="1" t="s">
        <v>48</v>
      </c>
      <c r="H81" s="1" t="s">
        <v>62</v>
      </c>
      <c r="I81" s="1" t="s">
        <v>63</v>
      </c>
      <c r="J81" s="1" t="s">
        <v>29</v>
      </c>
      <c r="L81" s="1" t="s">
        <v>29</v>
      </c>
      <c r="N81" s="1" t="s">
        <v>38</v>
      </c>
      <c r="O81" s="1" t="s">
        <v>31</v>
      </c>
      <c r="P81" s="1" t="s">
        <v>50</v>
      </c>
      <c r="Q81" s="1" t="s">
        <v>114</v>
      </c>
      <c r="R81" s="1" t="s">
        <v>29</v>
      </c>
      <c r="S81" s="1" t="s">
        <v>54</v>
      </c>
      <c r="T81" s="1">
        <v>3</v>
      </c>
      <c r="U81" s="1" t="s">
        <v>29</v>
      </c>
    </row>
    <row r="82" spans="1:21" ht="13" x14ac:dyDescent="0.15">
      <c r="A82" s="2">
        <v>45251.577707233795</v>
      </c>
      <c r="B82" s="1" t="s">
        <v>41</v>
      </c>
      <c r="C82" s="1" t="s">
        <v>21</v>
      </c>
      <c r="D82" s="1" t="s">
        <v>51</v>
      </c>
      <c r="F82" s="1" t="s">
        <v>23</v>
      </c>
      <c r="G82" s="1" t="s">
        <v>35</v>
      </c>
      <c r="H82" s="1" t="s">
        <v>84</v>
      </c>
      <c r="I82" s="1" t="s">
        <v>63</v>
      </c>
      <c r="J82" s="1" t="s">
        <v>27</v>
      </c>
      <c r="K82" s="1" t="s">
        <v>149</v>
      </c>
      <c r="L82" s="1" t="s">
        <v>29</v>
      </c>
      <c r="N82" s="1" t="s">
        <v>38</v>
      </c>
      <c r="O82" s="1" t="s">
        <v>46</v>
      </c>
      <c r="P82" s="1" t="s">
        <v>32</v>
      </c>
      <c r="Q82" s="1" t="s">
        <v>33</v>
      </c>
      <c r="R82" s="1" t="s">
        <v>27</v>
      </c>
      <c r="S82" s="1" t="s">
        <v>40</v>
      </c>
      <c r="T82" s="1">
        <v>4</v>
      </c>
      <c r="U82" s="1" t="s">
        <v>29</v>
      </c>
    </row>
    <row r="83" spans="1:21" ht="13" x14ac:dyDescent="0.15">
      <c r="A83" s="2">
        <v>45251.578058333333</v>
      </c>
      <c r="B83" s="1" t="s">
        <v>20</v>
      </c>
      <c r="C83" s="1" t="s">
        <v>21</v>
      </c>
      <c r="D83" s="1" t="s">
        <v>51</v>
      </c>
      <c r="F83" s="1" t="s">
        <v>47</v>
      </c>
      <c r="G83" s="1" t="s">
        <v>48</v>
      </c>
      <c r="H83" s="1" t="s">
        <v>150</v>
      </c>
      <c r="I83" s="1" t="s">
        <v>82</v>
      </c>
      <c r="J83" s="1" t="s">
        <v>29</v>
      </c>
      <c r="L83" s="1" t="s">
        <v>27</v>
      </c>
      <c r="M83" s="1" t="s">
        <v>151</v>
      </c>
      <c r="N83" s="1" t="s">
        <v>152</v>
      </c>
      <c r="O83" s="1" t="s">
        <v>152</v>
      </c>
      <c r="P83" s="1" t="s">
        <v>74</v>
      </c>
      <c r="Q83" s="1" t="s">
        <v>114</v>
      </c>
      <c r="R83" s="1" t="s">
        <v>29</v>
      </c>
      <c r="S83" s="1" t="s">
        <v>54</v>
      </c>
      <c r="T83" s="1">
        <v>3</v>
      </c>
      <c r="U83" s="1" t="s">
        <v>27</v>
      </c>
    </row>
    <row r="84" spans="1:21" ht="13" x14ac:dyDescent="0.15">
      <c r="A84" s="2">
        <v>45251.578936423612</v>
      </c>
      <c r="B84" s="1" t="s">
        <v>41</v>
      </c>
      <c r="C84" s="1" t="s">
        <v>21</v>
      </c>
      <c r="D84" s="1" t="s">
        <v>51</v>
      </c>
      <c r="F84" s="1" t="s">
        <v>23</v>
      </c>
      <c r="G84" s="1" t="s">
        <v>43</v>
      </c>
      <c r="H84" s="1" t="s">
        <v>49</v>
      </c>
      <c r="I84" s="1" t="s">
        <v>52</v>
      </c>
      <c r="J84" s="1" t="s">
        <v>27</v>
      </c>
      <c r="K84" s="1" t="s">
        <v>153</v>
      </c>
      <c r="L84" s="1" t="s">
        <v>29</v>
      </c>
      <c r="N84" s="1" t="s">
        <v>38</v>
      </c>
      <c r="O84" s="1" t="s">
        <v>31</v>
      </c>
      <c r="P84" s="1" t="s">
        <v>74</v>
      </c>
      <c r="Q84" s="1" t="s">
        <v>33</v>
      </c>
      <c r="R84" s="1" t="s">
        <v>29</v>
      </c>
      <c r="S84" s="1" t="s">
        <v>67</v>
      </c>
      <c r="T84" s="1">
        <v>4</v>
      </c>
      <c r="U84" s="1" t="s">
        <v>27</v>
      </c>
    </row>
    <row r="85" spans="1:21" ht="13" x14ac:dyDescent="0.15">
      <c r="A85" s="2">
        <v>45251.580394803241</v>
      </c>
      <c r="B85" s="1" t="s">
        <v>41</v>
      </c>
      <c r="C85" s="1" t="s">
        <v>21</v>
      </c>
      <c r="D85" s="1" t="s">
        <v>51</v>
      </c>
      <c r="F85" s="1" t="s">
        <v>57</v>
      </c>
      <c r="G85" s="1" t="s">
        <v>43</v>
      </c>
      <c r="H85" s="1" t="s">
        <v>49</v>
      </c>
      <c r="I85" s="1" t="s">
        <v>26</v>
      </c>
      <c r="J85" s="1" t="s">
        <v>27</v>
      </c>
      <c r="K85" s="1" t="s">
        <v>154</v>
      </c>
      <c r="L85" s="1" t="s">
        <v>27</v>
      </c>
      <c r="M85" s="1" t="s">
        <v>155</v>
      </c>
      <c r="N85" s="1" t="s">
        <v>38</v>
      </c>
      <c r="O85" s="1" t="s">
        <v>106</v>
      </c>
      <c r="P85" s="1" t="s">
        <v>74</v>
      </c>
      <c r="Q85" s="1" t="s">
        <v>33</v>
      </c>
      <c r="R85" s="1" t="s">
        <v>29</v>
      </c>
      <c r="S85" s="1" t="s">
        <v>67</v>
      </c>
      <c r="T85" s="1">
        <v>5</v>
      </c>
      <c r="U85" s="1" t="s">
        <v>27</v>
      </c>
    </row>
    <row r="86" spans="1:21" ht="13" x14ac:dyDescent="0.15">
      <c r="A86" s="2">
        <v>45251.580448587963</v>
      </c>
      <c r="B86" s="1" t="s">
        <v>41</v>
      </c>
      <c r="C86" s="1" t="s">
        <v>56</v>
      </c>
      <c r="D86" s="1" t="s">
        <v>51</v>
      </c>
      <c r="F86" s="1" t="s">
        <v>23</v>
      </c>
      <c r="G86" s="1" t="s">
        <v>43</v>
      </c>
      <c r="H86" s="1" t="s">
        <v>84</v>
      </c>
      <c r="I86" s="1" t="s">
        <v>52</v>
      </c>
      <c r="J86" s="1" t="s">
        <v>29</v>
      </c>
      <c r="L86" s="1" t="s">
        <v>29</v>
      </c>
      <c r="N86" s="1" t="s">
        <v>38</v>
      </c>
      <c r="O86" s="1" t="s">
        <v>106</v>
      </c>
      <c r="P86" s="1" t="s">
        <v>64</v>
      </c>
      <c r="Q86" s="1" t="s">
        <v>33</v>
      </c>
      <c r="R86" s="1" t="s">
        <v>29</v>
      </c>
      <c r="S86" s="1" t="s">
        <v>54</v>
      </c>
      <c r="T86" s="1">
        <v>5</v>
      </c>
      <c r="U86" s="1" t="s">
        <v>27</v>
      </c>
    </row>
    <row r="87" spans="1:21" ht="13" x14ac:dyDescent="0.15">
      <c r="A87" s="2">
        <v>45251.585245196758</v>
      </c>
      <c r="B87" s="1" t="s">
        <v>41</v>
      </c>
      <c r="C87" s="1" t="s">
        <v>21</v>
      </c>
      <c r="D87" s="1" t="s">
        <v>42</v>
      </c>
      <c r="F87" s="1" t="s">
        <v>23</v>
      </c>
      <c r="G87" s="1" t="s">
        <v>43</v>
      </c>
      <c r="H87" s="1" t="s">
        <v>129</v>
      </c>
      <c r="I87" s="1" t="s">
        <v>63</v>
      </c>
      <c r="J87" s="1" t="s">
        <v>29</v>
      </c>
      <c r="L87" s="1" t="s">
        <v>27</v>
      </c>
      <c r="M87" s="1" t="s">
        <v>98</v>
      </c>
      <c r="N87" s="1" t="s">
        <v>38</v>
      </c>
      <c r="O87" s="1" t="s">
        <v>46</v>
      </c>
      <c r="P87" s="1" t="s">
        <v>74</v>
      </c>
      <c r="Q87" s="1" t="s">
        <v>33</v>
      </c>
      <c r="R87" s="1" t="s">
        <v>29</v>
      </c>
      <c r="S87" s="1" t="s">
        <v>40</v>
      </c>
      <c r="T87" s="1">
        <v>3</v>
      </c>
      <c r="U87" s="1" t="s">
        <v>27</v>
      </c>
    </row>
    <row r="88" spans="1:21" ht="13" x14ac:dyDescent="0.15">
      <c r="A88" s="2">
        <v>45251.588210925926</v>
      </c>
      <c r="B88" s="1" t="s">
        <v>20</v>
      </c>
      <c r="C88" s="1" t="s">
        <v>56</v>
      </c>
      <c r="D88" s="1" t="s">
        <v>51</v>
      </c>
      <c r="F88" s="1" t="s">
        <v>47</v>
      </c>
      <c r="G88" s="1" t="s">
        <v>35</v>
      </c>
      <c r="H88" s="1" t="s">
        <v>84</v>
      </c>
      <c r="I88" s="1" t="s">
        <v>26</v>
      </c>
      <c r="J88" s="1" t="s">
        <v>29</v>
      </c>
      <c r="L88" s="1" t="s">
        <v>29</v>
      </c>
      <c r="N88" s="1" t="s">
        <v>38</v>
      </c>
      <c r="O88" s="1" t="s">
        <v>46</v>
      </c>
      <c r="P88" s="1" t="s">
        <v>50</v>
      </c>
      <c r="Q88" s="1" t="s">
        <v>33</v>
      </c>
      <c r="R88" s="1" t="s">
        <v>27</v>
      </c>
      <c r="S88" s="1" t="s">
        <v>54</v>
      </c>
      <c r="T88" s="1">
        <v>4</v>
      </c>
      <c r="U88" s="1" t="s">
        <v>29</v>
      </c>
    </row>
    <row r="89" spans="1:21" ht="13" x14ac:dyDescent="0.15">
      <c r="A89" s="2">
        <v>45251.618555740744</v>
      </c>
      <c r="B89" s="1" t="s">
        <v>41</v>
      </c>
      <c r="C89" s="1" t="s">
        <v>21</v>
      </c>
      <c r="D89" s="1" t="s">
        <v>42</v>
      </c>
      <c r="F89" s="1" t="s">
        <v>23</v>
      </c>
      <c r="G89" s="1" t="s">
        <v>35</v>
      </c>
      <c r="H89" s="1" t="s">
        <v>103</v>
      </c>
      <c r="I89" s="1" t="s">
        <v>26</v>
      </c>
      <c r="J89" s="1" t="s">
        <v>27</v>
      </c>
      <c r="K89" s="1" t="s">
        <v>156</v>
      </c>
      <c r="L89" s="1" t="s">
        <v>29</v>
      </c>
      <c r="N89" s="1" t="s">
        <v>38</v>
      </c>
      <c r="O89" s="1" t="s">
        <v>71</v>
      </c>
      <c r="P89" s="1" t="s">
        <v>64</v>
      </c>
      <c r="Q89" s="1" t="s">
        <v>53</v>
      </c>
      <c r="R89" s="1" t="s">
        <v>27</v>
      </c>
      <c r="S89" s="1" t="s">
        <v>40</v>
      </c>
      <c r="T89" s="1">
        <v>4</v>
      </c>
      <c r="U89" s="1" t="s">
        <v>29</v>
      </c>
    </row>
    <row r="90" spans="1:21" ht="13" x14ac:dyDescent="0.15">
      <c r="A90" s="2">
        <v>45251.630657395828</v>
      </c>
      <c r="B90" s="1" t="s">
        <v>41</v>
      </c>
      <c r="C90" s="1" t="s">
        <v>56</v>
      </c>
      <c r="D90" s="1" t="s">
        <v>51</v>
      </c>
      <c r="F90" s="1" t="s">
        <v>23</v>
      </c>
      <c r="G90" s="1" t="s">
        <v>35</v>
      </c>
      <c r="H90" s="1" t="s">
        <v>84</v>
      </c>
      <c r="I90" s="1" t="s">
        <v>26</v>
      </c>
      <c r="J90" s="1" t="s">
        <v>27</v>
      </c>
      <c r="K90" s="1" t="s">
        <v>157</v>
      </c>
      <c r="L90" s="1" t="s">
        <v>29</v>
      </c>
      <c r="N90" s="1" t="s">
        <v>38</v>
      </c>
      <c r="O90" s="1" t="s">
        <v>46</v>
      </c>
      <c r="P90" s="1" t="s">
        <v>74</v>
      </c>
      <c r="Q90" s="1" t="s">
        <v>33</v>
      </c>
      <c r="R90" s="1" t="s">
        <v>29</v>
      </c>
      <c r="S90" s="1" t="s">
        <v>54</v>
      </c>
      <c r="T90" s="1">
        <v>3</v>
      </c>
      <c r="U90" s="1" t="s">
        <v>27</v>
      </c>
    </row>
    <row r="91" spans="1:21" ht="13" x14ac:dyDescent="0.15">
      <c r="A91" s="2">
        <v>45251.632915671296</v>
      </c>
      <c r="B91" s="1" t="s">
        <v>41</v>
      </c>
      <c r="C91" s="1" t="s">
        <v>56</v>
      </c>
      <c r="D91" s="1" t="s">
        <v>51</v>
      </c>
      <c r="F91" s="1" t="s">
        <v>23</v>
      </c>
      <c r="G91" s="1" t="s">
        <v>83</v>
      </c>
      <c r="H91" s="1" t="s">
        <v>89</v>
      </c>
      <c r="I91" s="1" t="s">
        <v>52</v>
      </c>
      <c r="J91" s="1" t="s">
        <v>29</v>
      </c>
      <c r="L91" s="1" t="s">
        <v>27</v>
      </c>
      <c r="M91" s="1" t="s">
        <v>158</v>
      </c>
      <c r="N91" s="1" t="s">
        <v>30</v>
      </c>
      <c r="O91" s="1" t="s">
        <v>31</v>
      </c>
      <c r="P91" s="1" t="s">
        <v>32</v>
      </c>
      <c r="Q91" s="1" t="s">
        <v>33</v>
      </c>
      <c r="R91" s="1" t="s">
        <v>29</v>
      </c>
      <c r="S91" s="1" t="s">
        <v>40</v>
      </c>
      <c r="T91" s="1">
        <v>5</v>
      </c>
      <c r="U91" s="1" t="s">
        <v>27</v>
      </c>
    </row>
    <row r="92" spans="1:21" ht="13" x14ac:dyDescent="0.15">
      <c r="A92" s="2">
        <v>45251.638154918983</v>
      </c>
      <c r="B92" s="1" t="s">
        <v>20</v>
      </c>
      <c r="C92" s="1" t="s">
        <v>21</v>
      </c>
      <c r="D92" s="1" t="s">
        <v>42</v>
      </c>
      <c r="F92" s="1" t="s">
        <v>57</v>
      </c>
      <c r="G92" s="1" t="s">
        <v>58</v>
      </c>
      <c r="H92" s="1" t="s">
        <v>49</v>
      </c>
      <c r="I92" s="1" t="s">
        <v>52</v>
      </c>
      <c r="J92" s="1" t="s">
        <v>29</v>
      </c>
      <c r="L92" s="1" t="s">
        <v>29</v>
      </c>
      <c r="N92" s="1" t="s">
        <v>30</v>
      </c>
      <c r="O92" s="1" t="s">
        <v>31</v>
      </c>
      <c r="P92" s="1" t="s">
        <v>32</v>
      </c>
      <c r="Q92" s="1" t="s">
        <v>53</v>
      </c>
      <c r="R92" s="1" t="s">
        <v>27</v>
      </c>
      <c r="S92" s="1" t="s">
        <v>67</v>
      </c>
      <c r="T92" s="1">
        <v>3</v>
      </c>
      <c r="U92" s="1" t="s">
        <v>27</v>
      </c>
    </row>
    <row r="93" spans="1:21" ht="13" x14ac:dyDescent="0.15">
      <c r="A93" s="2">
        <v>45251.652837465277</v>
      </c>
      <c r="B93" s="1" t="s">
        <v>41</v>
      </c>
      <c r="C93" s="1" t="s">
        <v>21</v>
      </c>
      <c r="D93" s="1" t="s">
        <v>42</v>
      </c>
      <c r="F93" s="1" t="s">
        <v>23</v>
      </c>
      <c r="G93" s="1" t="s">
        <v>48</v>
      </c>
      <c r="H93" s="1" t="s">
        <v>89</v>
      </c>
      <c r="I93" s="1" t="s">
        <v>26</v>
      </c>
      <c r="J93" s="1" t="s">
        <v>29</v>
      </c>
      <c r="L93" s="1" t="s">
        <v>29</v>
      </c>
      <c r="N93" s="1" t="s">
        <v>38</v>
      </c>
      <c r="O93" s="1" t="s">
        <v>31</v>
      </c>
      <c r="P93" s="1" t="s">
        <v>50</v>
      </c>
      <c r="Q93" s="1" t="s">
        <v>33</v>
      </c>
      <c r="R93" s="1" t="s">
        <v>29</v>
      </c>
      <c r="S93" s="1" t="s">
        <v>40</v>
      </c>
      <c r="T93" s="1">
        <v>3</v>
      </c>
      <c r="U93" s="1" t="s">
        <v>27</v>
      </c>
    </row>
    <row r="94" spans="1:21" ht="13" x14ac:dyDescent="0.15">
      <c r="A94" s="2">
        <v>45251.655083368052</v>
      </c>
      <c r="B94" s="1" t="s">
        <v>20</v>
      </c>
      <c r="C94" s="1" t="s">
        <v>56</v>
      </c>
      <c r="D94" s="1" t="s">
        <v>51</v>
      </c>
      <c r="F94" s="1" t="s">
        <v>23</v>
      </c>
      <c r="G94" s="1" t="s">
        <v>35</v>
      </c>
      <c r="H94" s="1" t="s">
        <v>62</v>
      </c>
      <c r="I94" s="1" t="s">
        <v>82</v>
      </c>
      <c r="J94" s="1" t="s">
        <v>29</v>
      </c>
      <c r="L94" s="1" t="s">
        <v>29</v>
      </c>
      <c r="N94" s="1" t="s">
        <v>38</v>
      </c>
      <c r="O94" s="1" t="s">
        <v>116</v>
      </c>
      <c r="P94" s="1" t="s">
        <v>74</v>
      </c>
      <c r="Q94" s="1" t="s">
        <v>33</v>
      </c>
      <c r="R94" s="1" t="s">
        <v>29</v>
      </c>
      <c r="S94" s="1" t="s">
        <v>54</v>
      </c>
      <c r="T94" s="1">
        <v>4</v>
      </c>
      <c r="U94" s="1" t="s">
        <v>27</v>
      </c>
    </row>
    <row r="95" spans="1:21" ht="13" x14ac:dyDescent="0.15">
      <c r="A95" s="2">
        <v>45251.655338391203</v>
      </c>
      <c r="B95" s="1" t="s">
        <v>41</v>
      </c>
      <c r="C95" s="1" t="s">
        <v>21</v>
      </c>
      <c r="D95" s="1" t="s">
        <v>42</v>
      </c>
      <c r="F95" s="1" t="s">
        <v>23</v>
      </c>
      <c r="G95" s="1" t="s">
        <v>35</v>
      </c>
      <c r="H95" s="1" t="s">
        <v>127</v>
      </c>
      <c r="I95" s="1" t="s">
        <v>52</v>
      </c>
      <c r="J95" s="1" t="s">
        <v>27</v>
      </c>
      <c r="K95" s="1" t="s">
        <v>159</v>
      </c>
      <c r="L95" s="1" t="s">
        <v>27</v>
      </c>
      <c r="M95" s="1" t="s">
        <v>159</v>
      </c>
      <c r="N95" s="1" t="s">
        <v>30</v>
      </c>
      <c r="O95" s="1" t="s">
        <v>71</v>
      </c>
      <c r="P95" s="1" t="s">
        <v>50</v>
      </c>
      <c r="Q95" s="1" t="s">
        <v>33</v>
      </c>
      <c r="R95" s="1" t="s">
        <v>27</v>
      </c>
      <c r="S95" s="1" t="s">
        <v>40</v>
      </c>
      <c r="T95" s="1">
        <v>4</v>
      </c>
      <c r="U95" s="1" t="s">
        <v>27</v>
      </c>
    </row>
    <row r="96" spans="1:21" ht="13" x14ac:dyDescent="0.15">
      <c r="A96" s="2">
        <v>45251.675592719912</v>
      </c>
      <c r="B96" s="1" t="s">
        <v>41</v>
      </c>
      <c r="C96" s="1" t="s">
        <v>56</v>
      </c>
      <c r="D96" s="1" t="s">
        <v>51</v>
      </c>
      <c r="F96" s="1" t="s">
        <v>47</v>
      </c>
      <c r="G96" s="1" t="s">
        <v>35</v>
      </c>
      <c r="H96" s="1" t="s">
        <v>89</v>
      </c>
      <c r="I96" s="1" t="s">
        <v>52</v>
      </c>
      <c r="J96" s="1" t="s">
        <v>29</v>
      </c>
      <c r="L96" s="1" t="s">
        <v>27</v>
      </c>
      <c r="M96" s="1" t="s">
        <v>160</v>
      </c>
      <c r="N96" s="1" t="s">
        <v>30</v>
      </c>
      <c r="O96" s="1" t="s">
        <v>71</v>
      </c>
      <c r="P96" s="1" t="s">
        <v>50</v>
      </c>
      <c r="Q96" s="1" t="s">
        <v>33</v>
      </c>
      <c r="R96" s="1" t="s">
        <v>29</v>
      </c>
      <c r="S96" s="1" t="s">
        <v>40</v>
      </c>
      <c r="T96" s="1">
        <v>3</v>
      </c>
      <c r="U96" s="1" t="s">
        <v>27</v>
      </c>
    </row>
    <row r="97" spans="1:21" ht="13" x14ac:dyDescent="0.15">
      <c r="A97" s="2">
        <v>45251.676486909724</v>
      </c>
      <c r="B97" s="1" t="s">
        <v>20</v>
      </c>
      <c r="C97" s="1" t="s">
        <v>77</v>
      </c>
      <c r="D97" s="1" t="s">
        <v>60</v>
      </c>
      <c r="E97" s="1" t="s">
        <v>61</v>
      </c>
      <c r="F97" s="1" t="s">
        <v>23</v>
      </c>
      <c r="G97" s="1" t="s">
        <v>43</v>
      </c>
      <c r="H97" s="1" t="s">
        <v>73</v>
      </c>
      <c r="I97" s="1" t="s">
        <v>63</v>
      </c>
      <c r="J97" s="1" t="s">
        <v>29</v>
      </c>
      <c r="L97" s="1" t="s">
        <v>29</v>
      </c>
      <c r="N97" s="1" t="s">
        <v>38</v>
      </c>
      <c r="O97" s="1" t="s">
        <v>116</v>
      </c>
      <c r="P97" s="1" t="s">
        <v>50</v>
      </c>
      <c r="Q97" s="1" t="s">
        <v>33</v>
      </c>
      <c r="R97" s="1" t="s">
        <v>29</v>
      </c>
      <c r="S97" s="1" t="s">
        <v>54</v>
      </c>
      <c r="T97" s="1">
        <v>2</v>
      </c>
      <c r="U97" s="1" t="s">
        <v>29</v>
      </c>
    </row>
    <row r="98" spans="1:21" ht="13" x14ac:dyDescent="0.15">
      <c r="A98" s="2">
        <v>45251.705367777773</v>
      </c>
      <c r="B98" s="1" t="s">
        <v>41</v>
      </c>
      <c r="C98" s="1" t="s">
        <v>21</v>
      </c>
      <c r="D98" s="1" t="s">
        <v>42</v>
      </c>
      <c r="F98" s="1" t="s">
        <v>23</v>
      </c>
      <c r="G98" s="1" t="s">
        <v>35</v>
      </c>
      <c r="H98" s="1" t="s">
        <v>79</v>
      </c>
      <c r="I98" s="1" t="s">
        <v>26</v>
      </c>
      <c r="J98" s="1" t="s">
        <v>27</v>
      </c>
      <c r="K98" s="1" t="s">
        <v>161</v>
      </c>
      <c r="L98" s="1" t="s">
        <v>29</v>
      </c>
      <c r="N98" s="1" t="s">
        <v>38</v>
      </c>
      <c r="O98" s="1" t="s">
        <v>46</v>
      </c>
      <c r="P98" s="1" t="s">
        <v>32</v>
      </c>
      <c r="Q98" s="1" t="s">
        <v>33</v>
      </c>
      <c r="R98" s="1" t="s">
        <v>27</v>
      </c>
      <c r="S98" s="1" t="s">
        <v>54</v>
      </c>
      <c r="T98" s="1">
        <v>5</v>
      </c>
      <c r="U98" s="1" t="s">
        <v>27</v>
      </c>
    </row>
    <row r="99" spans="1:21" ht="13" x14ac:dyDescent="0.15">
      <c r="A99" s="2">
        <v>45251.707655532402</v>
      </c>
      <c r="B99" s="1" t="s">
        <v>55</v>
      </c>
      <c r="C99" s="1" t="s">
        <v>21</v>
      </c>
      <c r="D99" s="1" t="s">
        <v>42</v>
      </c>
      <c r="F99" s="1" t="s">
        <v>23</v>
      </c>
      <c r="G99" s="1" t="s">
        <v>35</v>
      </c>
      <c r="H99" s="1" t="s">
        <v>84</v>
      </c>
      <c r="I99" s="1" t="s">
        <v>63</v>
      </c>
      <c r="J99" s="1" t="s">
        <v>29</v>
      </c>
      <c r="L99" s="1" t="s">
        <v>29</v>
      </c>
      <c r="N99" s="1" t="s">
        <v>30</v>
      </c>
      <c r="O99" s="1" t="s">
        <v>46</v>
      </c>
      <c r="P99" s="1" t="s">
        <v>32</v>
      </c>
      <c r="Q99" s="1" t="s">
        <v>33</v>
      </c>
      <c r="R99" s="1" t="s">
        <v>29</v>
      </c>
      <c r="S99" s="1" t="s">
        <v>162</v>
      </c>
      <c r="T99" s="1">
        <v>3</v>
      </c>
      <c r="U99" s="1" t="s">
        <v>27</v>
      </c>
    </row>
    <row r="100" spans="1:21" ht="13" x14ac:dyDescent="0.15">
      <c r="A100" s="2">
        <v>45251.710113622685</v>
      </c>
      <c r="B100" s="1" t="s">
        <v>20</v>
      </c>
      <c r="C100" s="1" t="s">
        <v>77</v>
      </c>
      <c r="D100" s="1" t="s">
        <v>60</v>
      </c>
      <c r="E100" s="1" t="s">
        <v>68</v>
      </c>
      <c r="F100" s="1" t="s">
        <v>47</v>
      </c>
      <c r="G100" s="1" t="s">
        <v>35</v>
      </c>
      <c r="H100" s="1" t="s">
        <v>73</v>
      </c>
      <c r="I100" s="1" t="s">
        <v>63</v>
      </c>
      <c r="J100" s="1" t="s">
        <v>29</v>
      </c>
      <c r="L100" s="1" t="s">
        <v>29</v>
      </c>
      <c r="N100" s="1" t="s">
        <v>30</v>
      </c>
      <c r="O100" s="1" t="s">
        <v>46</v>
      </c>
      <c r="P100" s="1" t="s">
        <v>50</v>
      </c>
      <c r="Q100" s="1" t="s">
        <v>33</v>
      </c>
      <c r="R100" s="1" t="s">
        <v>27</v>
      </c>
      <c r="S100" s="1" t="s">
        <v>54</v>
      </c>
      <c r="T100" s="1">
        <v>1</v>
      </c>
      <c r="U100" s="1" t="s">
        <v>29</v>
      </c>
    </row>
    <row r="101" spans="1:21" ht="13" x14ac:dyDescent="0.15">
      <c r="A101" s="2">
        <v>45251.735638495375</v>
      </c>
      <c r="B101" s="1" t="s">
        <v>41</v>
      </c>
      <c r="C101" s="1" t="s">
        <v>21</v>
      </c>
      <c r="D101" s="1" t="s">
        <v>51</v>
      </c>
      <c r="F101" s="1" t="s">
        <v>23</v>
      </c>
      <c r="G101" s="1" t="s">
        <v>83</v>
      </c>
      <c r="H101" s="1" t="s">
        <v>65</v>
      </c>
      <c r="I101" s="1" t="s">
        <v>63</v>
      </c>
      <c r="J101" s="1" t="s">
        <v>29</v>
      </c>
      <c r="L101" s="1" t="s">
        <v>29</v>
      </c>
      <c r="N101" s="1" t="s">
        <v>38</v>
      </c>
      <c r="O101" s="1" t="s">
        <v>71</v>
      </c>
      <c r="P101" s="1" t="s">
        <v>50</v>
      </c>
      <c r="Q101" s="1" t="s">
        <v>33</v>
      </c>
      <c r="R101" s="1" t="s">
        <v>29</v>
      </c>
      <c r="S101" s="1" t="s">
        <v>54</v>
      </c>
      <c r="T101" s="1">
        <v>3</v>
      </c>
      <c r="U101" s="1" t="s">
        <v>27</v>
      </c>
    </row>
    <row r="102" spans="1:21" ht="13" x14ac:dyDescent="0.15">
      <c r="A102" s="2">
        <v>45251.740426932869</v>
      </c>
      <c r="B102" s="1" t="s">
        <v>41</v>
      </c>
      <c r="C102" s="1" t="s">
        <v>163</v>
      </c>
      <c r="D102" s="1" t="s">
        <v>60</v>
      </c>
      <c r="E102" s="1" t="s">
        <v>68</v>
      </c>
      <c r="F102" s="1" t="s">
        <v>47</v>
      </c>
      <c r="G102" s="1" t="s">
        <v>35</v>
      </c>
      <c r="H102" s="1" t="s">
        <v>127</v>
      </c>
      <c r="I102" s="1" t="s">
        <v>63</v>
      </c>
      <c r="J102" s="1" t="s">
        <v>27</v>
      </c>
      <c r="K102" s="1" t="s">
        <v>164</v>
      </c>
      <c r="L102" s="1" t="s">
        <v>27</v>
      </c>
      <c r="M102" s="1" t="s">
        <v>165</v>
      </c>
      <c r="N102" s="1" t="s">
        <v>30</v>
      </c>
      <c r="O102" s="1" t="s">
        <v>71</v>
      </c>
      <c r="P102" s="1" t="s">
        <v>32</v>
      </c>
      <c r="Q102" s="1" t="s">
        <v>33</v>
      </c>
      <c r="R102" s="1" t="s">
        <v>27</v>
      </c>
      <c r="S102" s="1" t="s">
        <v>54</v>
      </c>
      <c r="T102" s="1">
        <v>2</v>
      </c>
      <c r="U102" s="1" t="s">
        <v>29</v>
      </c>
    </row>
    <row r="103" spans="1:21" ht="13" x14ac:dyDescent="0.15">
      <c r="A103" s="2">
        <v>45251.742632673609</v>
      </c>
      <c r="B103" s="1" t="s">
        <v>41</v>
      </c>
      <c r="C103" s="1" t="s">
        <v>21</v>
      </c>
      <c r="D103" s="1" t="s">
        <v>42</v>
      </c>
      <c r="F103" s="1" t="s">
        <v>57</v>
      </c>
      <c r="G103" s="1" t="s">
        <v>43</v>
      </c>
      <c r="H103" s="1" t="s">
        <v>79</v>
      </c>
      <c r="I103" s="1" t="s">
        <v>63</v>
      </c>
      <c r="J103" s="1" t="s">
        <v>27</v>
      </c>
      <c r="K103" s="1" t="s">
        <v>166</v>
      </c>
      <c r="L103" s="1" t="s">
        <v>29</v>
      </c>
      <c r="N103" s="1" t="s">
        <v>30</v>
      </c>
      <c r="O103" s="1" t="s">
        <v>46</v>
      </c>
      <c r="P103" s="1" t="s">
        <v>32</v>
      </c>
      <c r="Q103" s="1" t="s">
        <v>33</v>
      </c>
      <c r="R103" s="1" t="s">
        <v>29</v>
      </c>
      <c r="S103" s="1" t="s">
        <v>54</v>
      </c>
      <c r="T103" s="1">
        <v>3</v>
      </c>
      <c r="U103" s="1" t="s">
        <v>27</v>
      </c>
    </row>
    <row r="104" spans="1:21" ht="13" x14ac:dyDescent="0.15">
      <c r="A104" s="2">
        <v>45251.743431643517</v>
      </c>
      <c r="B104" s="1" t="s">
        <v>41</v>
      </c>
      <c r="C104" s="1" t="s">
        <v>21</v>
      </c>
      <c r="D104" s="1" t="s">
        <v>42</v>
      </c>
      <c r="F104" s="1" t="s">
        <v>23</v>
      </c>
      <c r="G104" s="1" t="s">
        <v>35</v>
      </c>
      <c r="H104" s="1" t="s">
        <v>150</v>
      </c>
      <c r="I104" s="1" t="s">
        <v>26</v>
      </c>
      <c r="J104" s="1" t="s">
        <v>27</v>
      </c>
      <c r="K104" s="1" t="s">
        <v>167</v>
      </c>
      <c r="L104" s="1" t="s">
        <v>29</v>
      </c>
      <c r="N104" s="1" t="s">
        <v>30</v>
      </c>
      <c r="O104" s="1" t="s">
        <v>71</v>
      </c>
      <c r="P104" s="1" t="s">
        <v>32</v>
      </c>
      <c r="Q104" s="1" t="s">
        <v>33</v>
      </c>
      <c r="R104" s="1" t="s">
        <v>29</v>
      </c>
      <c r="S104" s="1" t="s">
        <v>40</v>
      </c>
      <c r="T104" s="1">
        <v>4</v>
      </c>
      <c r="U104" s="1" t="s">
        <v>27</v>
      </c>
    </row>
    <row r="105" spans="1:21" ht="13" x14ac:dyDescent="0.15">
      <c r="A105" s="2">
        <v>45251.753895613423</v>
      </c>
      <c r="B105" s="1" t="s">
        <v>41</v>
      </c>
      <c r="C105" s="1" t="s">
        <v>75</v>
      </c>
      <c r="D105" s="1" t="s">
        <v>60</v>
      </c>
      <c r="E105" s="1" t="s">
        <v>61</v>
      </c>
      <c r="F105" s="1" t="s">
        <v>69</v>
      </c>
      <c r="G105" s="1" t="s">
        <v>35</v>
      </c>
      <c r="H105" s="1" t="s">
        <v>73</v>
      </c>
      <c r="I105" s="1" t="s">
        <v>63</v>
      </c>
      <c r="J105" s="1" t="s">
        <v>27</v>
      </c>
      <c r="K105" s="1" t="s">
        <v>168</v>
      </c>
      <c r="L105" s="1" t="s">
        <v>27</v>
      </c>
      <c r="M105" s="1" t="s">
        <v>169</v>
      </c>
      <c r="N105" s="1" t="s">
        <v>66</v>
      </c>
      <c r="O105" s="1" t="s">
        <v>116</v>
      </c>
      <c r="P105" s="1" t="s">
        <v>50</v>
      </c>
      <c r="Q105" s="1" t="s">
        <v>33</v>
      </c>
      <c r="R105" s="1" t="s">
        <v>29</v>
      </c>
      <c r="S105" s="1" t="s">
        <v>40</v>
      </c>
      <c r="T105" s="1">
        <v>5</v>
      </c>
      <c r="U105" s="1" t="s">
        <v>27</v>
      </c>
    </row>
    <row r="106" spans="1:21" ht="13" x14ac:dyDescent="0.15">
      <c r="A106" s="2">
        <v>45251.7635696875</v>
      </c>
      <c r="B106" s="1" t="s">
        <v>20</v>
      </c>
      <c r="C106" s="1" t="s">
        <v>56</v>
      </c>
      <c r="D106" s="1" t="s">
        <v>51</v>
      </c>
      <c r="F106" s="1" t="s">
        <v>47</v>
      </c>
      <c r="G106" s="1" t="s">
        <v>35</v>
      </c>
      <c r="H106" s="1" t="s">
        <v>89</v>
      </c>
      <c r="I106" s="1" t="s">
        <v>82</v>
      </c>
      <c r="J106" s="1" t="s">
        <v>29</v>
      </c>
      <c r="L106" s="1" t="s">
        <v>29</v>
      </c>
      <c r="N106" s="1" t="s">
        <v>38</v>
      </c>
      <c r="O106" s="1" t="s">
        <v>46</v>
      </c>
      <c r="P106" s="1" t="s">
        <v>50</v>
      </c>
      <c r="Q106" s="1" t="s">
        <v>33</v>
      </c>
      <c r="R106" s="1" t="s">
        <v>27</v>
      </c>
      <c r="S106" s="1" t="s">
        <v>54</v>
      </c>
      <c r="T106" s="1">
        <v>2</v>
      </c>
      <c r="U106" s="1" t="s">
        <v>27</v>
      </c>
    </row>
    <row r="107" spans="1:21" ht="13" x14ac:dyDescent="0.15">
      <c r="A107" s="2">
        <v>45251.772083449076</v>
      </c>
      <c r="B107" s="1" t="s">
        <v>41</v>
      </c>
      <c r="C107" s="1" t="s">
        <v>72</v>
      </c>
      <c r="D107" s="1" t="s">
        <v>60</v>
      </c>
      <c r="E107" s="1" t="s">
        <v>68</v>
      </c>
      <c r="F107" s="1" t="s">
        <v>23</v>
      </c>
      <c r="G107" s="1" t="s">
        <v>35</v>
      </c>
      <c r="H107" s="1" t="s">
        <v>73</v>
      </c>
      <c r="I107" s="1" t="s">
        <v>63</v>
      </c>
      <c r="J107" s="1" t="s">
        <v>27</v>
      </c>
      <c r="K107" s="1" t="s">
        <v>170</v>
      </c>
      <c r="L107" s="1" t="s">
        <v>29</v>
      </c>
      <c r="N107" s="1" t="s">
        <v>30</v>
      </c>
      <c r="O107" s="1" t="s">
        <v>46</v>
      </c>
      <c r="P107" s="1" t="s">
        <v>50</v>
      </c>
      <c r="Q107" s="1" t="s">
        <v>33</v>
      </c>
      <c r="R107" s="1" t="s">
        <v>29</v>
      </c>
      <c r="S107" s="1" t="s">
        <v>40</v>
      </c>
      <c r="T107" s="1">
        <v>3</v>
      </c>
      <c r="U107" s="1" t="s">
        <v>27</v>
      </c>
    </row>
    <row r="108" spans="1:21" ht="13" x14ac:dyDescent="0.15">
      <c r="A108" s="2">
        <v>45251.772312337962</v>
      </c>
      <c r="B108" s="1" t="s">
        <v>41</v>
      </c>
      <c r="C108" s="1" t="s">
        <v>72</v>
      </c>
      <c r="D108" s="1" t="s">
        <v>60</v>
      </c>
      <c r="E108" s="1" t="s">
        <v>68</v>
      </c>
      <c r="F108" s="1" t="s">
        <v>47</v>
      </c>
      <c r="G108" s="1" t="s">
        <v>35</v>
      </c>
      <c r="H108" s="1" t="s">
        <v>73</v>
      </c>
      <c r="I108" s="1" t="s">
        <v>63</v>
      </c>
      <c r="J108" s="1" t="s">
        <v>27</v>
      </c>
      <c r="K108" s="1" t="s">
        <v>171</v>
      </c>
      <c r="L108" s="1" t="s">
        <v>29</v>
      </c>
      <c r="N108" s="1" t="s">
        <v>38</v>
      </c>
      <c r="O108" s="1" t="s">
        <v>46</v>
      </c>
      <c r="P108" s="1" t="s">
        <v>50</v>
      </c>
      <c r="Q108" s="1" t="s">
        <v>33</v>
      </c>
      <c r="R108" s="1" t="s">
        <v>27</v>
      </c>
      <c r="S108" s="1" t="s">
        <v>40</v>
      </c>
      <c r="T108" s="1">
        <v>3</v>
      </c>
      <c r="U108" s="1" t="s">
        <v>29</v>
      </c>
    </row>
    <row r="109" spans="1:21" ht="13" x14ac:dyDescent="0.15">
      <c r="A109" s="2">
        <v>45251.774068090279</v>
      </c>
      <c r="B109" s="1" t="s">
        <v>20</v>
      </c>
      <c r="C109" s="1" t="s">
        <v>72</v>
      </c>
      <c r="D109" s="1" t="s">
        <v>60</v>
      </c>
      <c r="E109" s="1" t="s">
        <v>61</v>
      </c>
      <c r="F109" s="1" t="s">
        <v>47</v>
      </c>
      <c r="G109" s="1" t="s">
        <v>35</v>
      </c>
      <c r="H109" s="1" t="s">
        <v>73</v>
      </c>
      <c r="I109" s="1" t="s">
        <v>63</v>
      </c>
      <c r="J109" s="1" t="s">
        <v>29</v>
      </c>
      <c r="L109" s="1" t="s">
        <v>29</v>
      </c>
      <c r="N109" s="1" t="s">
        <v>38</v>
      </c>
      <c r="O109" s="1" t="s">
        <v>46</v>
      </c>
      <c r="P109" s="1" t="s">
        <v>74</v>
      </c>
      <c r="Q109" s="1" t="s">
        <v>33</v>
      </c>
      <c r="R109" s="1" t="s">
        <v>27</v>
      </c>
      <c r="S109" s="1" t="s">
        <v>54</v>
      </c>
      <c r="T109" s="1">
        <v>2</v>
      </c>
      <c r="U109" s="1" t="s">
        <v>29</v>
      </c>
    </row>
    <row r="110" spans="1:21" ht="13" x14ac:dyDescent="0.15">
      <c r="A110" s="2">
        <v>45251.776530069445</v>
      </c>
      <c r="B110" s="1" t="s">
        <v>41</v>
      </c>
      <c r="C110" s="1" t="s">
        <v>72</v>
      </c>
      <c r="D110" s="1" t="s">
        <v>60</v>
      </c>
      <c r="E110" s="1" t="s">
        <v>68</v>
      </c>
      <c r="F110" s="1" t="s">
        <v>23</v>
      </c>
      <c r="G110" s="1" t="s">
        <v>43</v>
      </c>
      <c r="H110" s="1" t="s">
        <v>73</v>
      </c>
      <c r="I110" s="1" t="s">
        <v>63</v>
      </c>
      <c r="J110" s="1" t="s">
        <v>27</v>
      </c>
      <c r="K110" s="1" t="s">
        <v>172</v>
      </c>
      <c r="L110" s="1" t="s">
        <v>29</v>
      </c>
      <c r="N110" s="1" t="s">
        <v>30</v>
      </c>
      <c r="O110" s="1" t="s">
        <v>46</v>
      </c>
      <c r="P110" s="1" t="s">
        <v>74</v>
      </c>
      <c r="Q110" s="1" t="s">
        <v>33</v>
      </c>
      <c r="R110" s="1" t="s">
        <v>27</v>
      </c>
      <c r="S110" s="1" t="s">
        <v>40</v>
      </c>
      <c r="T110" s="1">
        <v>3</v>
      </c>
      <c r="U110" s="1" t="s">
        <v>27</v>
      </c>
    </row>
    <row r="111" spans="1:21" ht="13" x14ac:dyDescent="0.15">
      <c r="A111" s="2">
        <v>45251.7803341088</v>
      </c>
      <c r="B111" s="1" t="s">
        <v>41</v>
      </c>
      <c r="C111" s="1" t="s">
        <v>72</v>
      </c>
      <c r="D111" s="1" t="s">
        <v>60</v>
      </c>
      <c r="E111" s="1" t="s">
        <v>68</v>
      </c>
      <c r="F111" s="1" t="s">
        <v>47</v>
      </c>
      <c r="G111" s="1" t="s">
        <v>35</v>
      </c>
      <c r="H111" s="1" t="s">
        <v>103</v>
      </c>
      <c r="I111" s="1" t="s">
        <v>63</v>
      </c>
      <c r="J111" s="1" t="s">
        <v>29</v>
      </c>
      <c r="L111" s="1" t="s">
        <v>27</v>
      </c>
      <c r="M111" s="1" t="s">
        <v>173</v>
      </c>
      <c r="N111" s="1" t="s">
        <v>174</v>
      </c>
      <c r="O111" s="1" t="s">
        <v>46</v>
      </c>
      <c r="P111" s="1" t="s">
        <v>50</v>
      </c>
      <c r="Q111" s="1" t="s">
        <v>33</v>
      </c>
      <c r="R111" s="1" t="s">
        <v>27</v>
      </c>
      <c r="S111" s="1" t="s">
        <v>54</v>
      </c>
      <c r="T111" s="1">
        <v>3</v>
      </c>
      <c r="U111" s="1" t="s">
        <v>29</v>
      </c>
    </row>
    <row r="112" spans="1:21" ht="13" x14ac:dyDescent="0.15">
      <c r="A112" s="2">
        <v>45251.782128738429</v>
      </c>
      <c r="B112" s="1" t="s">
        <v>20</v>
      </c>
      <c r="C112" s="1" t="s">
        <v>56</v>
      </c>
      <c r="D112" s="1" t="s">
        <v>51</v>
      </c>
      <c r="F112" s="1" t="s">
        <v>47</v>
      </c>
      <c r="G112" s="1" t="s">
        <v>48</v>
      </c>
      <c r="H112" s="1" t="s">
        <v>93</v>
      </c>
      <c r="I112" s="1" t="s">
        <v>52</v>
      </c>
      <c r="J112" s="1" t="s">
        <v>29</v>
      </c>
      <c r="L112" s="1" t="s">
        <v>29</v>
      </c>
      <c r="N112" s="1" t="s">
        <v>66</v>
      </c>
      <c r="O112" s="1" t="s">
        <v>116</v>
      </c>
      <c r="P112" s="1" t="s">
        <v>74</v>
      </c>
      <c r="Q112" s="1" t="s">
        <v>114</v>
      </c>
      <c r="R112" s="1" t="s">
        <v>29</v>
      </c>
      <c r="S112" s="1" t="s">
        <v>67</v>
      </c>
      <c r="T112" s="1">
        <v>2</v>
      </c>
      <c r="U112" s="1" t="s">
        <v>29</v>
      </c>
    </row>
    <row r="113" spans="1:21" ht="13" x14ac:dyDescent="0.15">
      <c r="A113" s="2">
        <v>45251.782140694442</v>
      </c>
      <c r="B113" s="1" t="s">
        <v>20</v>
      </c>
      <c r="C113" s="1" t="s">
        <v>56</v>
      </c>
      <c r="D113" s="1" t="s">
        <v>51</v>
      </c>
      <c r="F113" s="1" t="s">
        <v>47</v>
      </c>
      <c r="G113" s="1" t="s">
        <v>48</v>
      </c>
      <c r="H113" s="1" t="s">
        <v>175</v>
      </c>
      <c r="I113" s="1" t="s">
        <v>26</v>
      </c>
      <c r="J113" s="1" t="s">
        <v>29</v>
      </c>
      <c r="L113" s="1" t="s">
        <v>29</v>
      </c>
      <c r="N113" s="1" t="s">
        <v>176</v>
      </c>
      <c r="O113" s="1" t="s">
        <v>71</v>
      </c>
      <c r="P113" s="1" t="s">
        <v>50</v>
      </c>
      <c r="Q113" s="1" t="s">
        <v>33</v>
      </c>
      <c r="R113" s="1" t="s">
        <v>29</v>
      </c>
      <c r="S113" s="1" t="s">
        <v>177</v>
      </c>
      <c r="T113" s="1">
        <v>3</v>
      </c>
      <c r="U113" s="1" t="s">
        <v>27</v>
      </c>
    </row>
    <row r="114" spans="1:21" ht="13" x14ac:dyDescent="0.15">
      <c r="A114" s="2">
        <v>45251.782739282411</v>
      </c>
      <c r="B114" s="1" t="s">
        <v>41</v>
      </c>
      <c r="C114" s="1" t="s">
        <v>56</v>
      </c>
      <c r="D114" s="1" t="s">
        <v>51</v>
      </c>
      <c r="F114" s="1" t="s">
        <v>23</v>
      </c>
      <c r="G114" s="1" t="s">
        <v>43</v>
      </c>
      <c r="H114" s="1" t="s">
        <v>44</v>
      </c>
      <c r="I114" s="1" t="s">
        <v>26</v>
      </c>
      <c r="J114" s="1" t="s">
        <v>29</v>
      </c>
      <c r="L114" s="1" t="s">
        <v>29</v>
      </c>
      <c r="N114" s="1" t="s">
        <v>30</v>
      </c>
      <c r="O114" s="1" t="s">
        <v>46</v>
      </c>
      <c r="P114" s="1" t="s">
        <v>64</v>
      </c>
      <c r="Q114" s="1" t="s">
        <v>53</v>
      </c>
      <c r="R114" s="1" t="s">
        <v>29</v>
      </c>
      <c r="S114" s="1" t="s">
        <v>40</v>
      </c>
      <c r="T114" s="1">
        <v>2</v>
      </c>
      <c r="U114" s="1" t="s">
        <v>27</v>
      </c>
    </row>
    <row r="115" spans="1:21" ht="13" x14ac:dyDescent="0.15">
      <c r="A115" s="2">
        <v>45251.783047696765</v>
      </c>
      <c r="B115" s="1" t="s">
        <v>41</v>
      </c>
      <c r="C115" s="1" t="s">
        <v>56</v>
      </c>
      <c r="D115" s="1" t="s">
        <v>51</v>
      </c>
      <c r="F115" s="1" t="s">
        <v>47</v>
      </c>
      <c r="G115" s="1" t="s">
        <v>43</v>
      </c>
      <c r="H115" s="1" t="s">
        <v>73</v>
      </c>
      <c r="I115" s="1" t="s">
        <v>82</v>
      </c>
      <c r="J115" s="1" t="s">
        <v>27</v>
      </c>
      <c r="K115" s="1" t="s">
        <v>159</v>
      </c>
      <c r="L115" s="1" t="s">
        <v>29</v>
      </c>
      <c r="N115" s="1" t="s">
        <v>30</v>
      </c>
      <c r="O115" s="1" t="s">
        <v>101</v>
      </c>
      <c r="P115" s="1" t="s">
        <v>74</v>
      </c>
      <c r="Q115" s="1" t="s">
        <v>33</v>
      </c>
      <c r="R115" s="1" t="s">
        <v>29</v>
      </c>
      <c r="S115" s="1" t="s">
        <v>40</v>
      </c>
      <c r="T115" s="1">
        <v>4</v>
      </c>
      <c r="U115" s="1" t="s">
        <v>29</v>
      </c>
    </row>
    <row r="116" spans="1:21" ht="13" x14ac:dyDescent="0.15">
      <c r="A116" s="2">
        <v>45251.783067893513</v>
      </c>
      <c r="B116" s="1" t="s">
        <v>41</v>
      </c>
      <c r="C116" s="1" t="s">
        <v>56</v>
      </c>
      <c r="D116" s="1" t="s">
        <v>51</v>
      </c>
      <c r="F116" s="1" t="s">
        <v>23</v>
      </c>
      <c r="G116" s="1" t="s">
        <v>43</v>
      </c>
      <c r="H116" s="1" t="s">
        <v>36</v>
      </c>
      <c r="I116" s="1" t="s">
        <v>26</v>
      </c>
      <c r="J116" s="1" t="s">
        <v>29</v>
      </c>
      <c r="L116" s="1" t="s">
        <v>29</v>
      </c>
      <c r="N116" s="1" t="s">
        <v>30</v>
      </c>
      <c r="O116" s="1" t="s">
        <v>46</v>
      </c>
      <c r="P116" s="1" t="s">
        <v>74</v>
      </c>
      <c r="Q116" s="1" t="s">
        <v>33</v>
      </c>
      <c r="R116" s="1" t="s">
        <v>29</v>
      </c>
      <c r="S116" s="1" t="s">
        <v>40</v>
      </c>
      <c r="T116" s="1">
        <v>2</v>
      </c>
      <c r="U116" s="1" t="s">
        <v>27</v>
      </c>
    </row>
    <row r="117" spans="1:21" ht="13" x14ac:dyDescent="0.15">
      <c r="A117" s="2">
        <v>45251.784508506942</v>
      </c>
      <c r="B117" s="1" t="s">
        <v>41</v>
      </c>
      <c r="C117" s="1" t="s">
        <v>56</v>
      </c>
      <c r="D117" s="1" t="s">
        <v>51</v>
      </c>
      <c r="F117" s="1" t="s">
        <v>47</v>
      </c>
      <c r="G117" s="1" t="s">
        <v>35</v>
      </c>
      <c r="H117" s="1" t="s">
        <v>178</v>
      </c>
      <c r="I117" s="1" t="s">
        <v>26</v>
      </c>
      <c r="J117" s="1" t="s">
        <v>27</v>
      </c>
      <c r="K117" s="1" t="s">
        <v>179</v>
      </c>
      <c r="L117" s="1" t="s">
        <v>29</v>
      </c>
      <c r="N117" s="1" t="s">
        <v>30</v>
      </c>
      <c r="O117" s="1" t="s">
        <v>31</v>
      </c>
      <c r="P117" s="1" t="s">
        <v>50</v>
      </c>
      <c r="Q117" s="1" t="s">
        <v>33</v>
      </c>
      <c r="R117" s="1" t="s">
        <v>29</v>
      </c>
      <c r="S117" s="1" t="s">
        <v>54</v>
      </c>
      <c r="T117" s="1">
        <v>4</v>
      </c>
      <c r="U117" s="1" t="s">
        <v>27</v>
      </c>
    </row>
    <row r="118" spans="1:21" ht="13" x14ac:dyDescent="0.15">
      <c r="A118" s="2">
        <v>45251.78651528935</v>
      </c>
      <c r="B118" s="1" t="s">
        <v>41</v>
      </c>
      <c r="C118" s="1" t="s">
        <v>56</v>
      </c>
      <c r="D118" s="1" t="s">
        <v>51</v>
      </c>
      <c r="F118" s="1" t="s">
        <v>47</v>
      </c>
      <c r="G118" s="1" t="s">
        <v>35</v>
      </c>
      <c r="H118" s="1" t="s">
        <v>89</v>
      </c>
      <c r="I118" s="1" t="s">
        <v>26</v>
      </c>
      <c r="J118" s="1" t="s">
        <v>29</v>
      </c>
      <c r="L118" s="1" t="s">
        <v>29</v>
      </c>
      <c r="N118" s="1" t="s">
        <v>38</v>
      </c>
      <c r="O118" s="1" t="s">
        <v>71</v>
      </c>
      <c r="P118" s="1" t="s">
        <v>32</v>
      </c>
      <c r="Q118" s="1" t="s">
        <v>33</v>
      </c>
      <c r="R118" s="1" t="s">
        <v>29</v>
      </c>
      <c r="S118" s="1" t="s">
        <v>54</v>
      </c>
      <c r="T118" s="1">
        <v>4</v>
      </c>
      <c r="U118" s="1" t="s">
        <v>27</v>
      </c>
    </row>
    <row r="119" spans="1:21" ht="13" x14ac:dyDescent="0.15">
      <c r="A119" s="2">
        <v>45251.78659369213</v>
      </c>
      <c r="B119" s="1" t="s">
        <v>41</v>
      </c>
      <c r="C119" s="1" t="s">
        <v>56</v>
      </c>
      <c r="D119" s="1" t="s">
        <v>51</v>
      </c>
      <c r="F119" s="1" t="s">
        <v>23</v>
      </c>
      <c r="G119" s="1" t="s">
        <v>58</v>
      </c>
      <c r="H119" s="1" t="s">
        <v>180</v>
      </c>
      <c r="I119" s="1" t="s">
        <v>26</v>
      </c>
      <c r="J119" s="1" t="s">
        <v>27</v>
      </c>
      <c r="K119" s="1" t="s">
        <v>181</v>
      </c>
      <c r="L119" s="1" t="s">
        <v>27</v>
      </c>
      <c r="M119" s="1" t="s">
        <v>182</v>
      </c>
      <c r="N119" s="1" t="s">
        <v>38</v>
      </c>
      <c r="O119" s="1" t="s">
        <v>31</v>
      </c>
      <c r="P119" s="1" t="s">
        <v>74</v>
      </c>
      <c r="Q119" s="1" t="s">
        <v>33</v>
      </c>
      <c r="R119" s="1" t="s">
        <v>29</v>
      </c>
      <c r="S119" s="1" t="s">
        <v>67</v>
      </c>
      <c r="T119" s="1">
        <v>4</v>
      </c>
      <c r="U119" s="1" t="s">
        <v>27</v>
      </c>
    </row>
    <row r="120" spans="1:21" ht="13" x14ac:dyDescent="0.15">
      <c r="A120" s="2">
        <v>45251.790628518516</v>
      </c>
      <c r="B120" s="1" t="s">
        <v>20</v>
      </c>
      <c r="C120" s="1" t="s">
        <v>56</v>
      </c>
      <c r="D120" s="1" t="s">
        <v>51</v>
      </c>
      <c r="F120" s="1" t="s">
        <v>23</v>
      </c>
      <c r="G120" s="1" t="s">
        <v>48</v>
      </c>
      <c r="H120" s="1" t="s">
        <v>81</v>
      </c>
      <c r="I120" s="1" t="s">
        <v>26</v>
      </c>
      <c r="J120" s="1" t="s">
        <v>29</v>
      </c>
      <c r="L120" s="1" t="s">
        <v>29</v>
      </c>
      <c r="N120" s="1" t="s">
        <v>38</v>
      </c>
      <c r="O120" s="1" t="s">
        <v>46</v>
      </c>
      <c r="P120" s="1" t="s">
        <v>50</v>
      </c>
      <c r="Q120" s="1" t="s">
        <v>114</v>
      </c>
      <c r="R120" s="1" t="s">
        <v>29</v>
      </c>
      <c r="S120" s="1" t="s">
        <v>54</v>
      </c>
      <c r="T120" s="1">
        <v>4</v>
      </c>
      <c r="U120" s="1" t="s">
        <v>27</v>
      </c>
    </row>
    <row r="121" spans="1:21" ht="13" x14ac:dyDescent="0.15">
      <c r="A121" s="2">
        <v>45251.791547013891</v>
      </c>
      <c r="B121" s="1" t="s">
        <v>20</v>
      </c>
      <c r="C121" s="1" t="s">
        <v>56</v>
      </c>
      <c r="D121" s="1" t="s">
        <v>51</v>
      </c>
      <c r="F121" s="1" t="s">
        <v>47</v>
      </c>
      <c r="G121" s="1" t="s">
        <v>35</v>
      </c>
      <c r="H121" s="1" t="s">
        <v>84</v>
      </c>
      <c r="I121" s="1" t="s">
        <v>26</v>
      </c>
      <c r="J121" s="1" t="s">
        <v>29</v>
      </c>
      <c r="L121" s="1" t="s">
        <v>29</v>
      </c>
      <c r="N121" s="1" t="s">
        <v>38</v>
      </c>
      <c r="O121" s="1" t="s">
        <v>31</v>
      </c>
      <c r="P121" s="1" t="s">
        <v>74</v>
      </c>
      <c r="Q121" s="1" t="s">
        <v>114</v>
      </c>
      <c r="R121" s="1" t="s">
        <v>27</v>
      </c>
      <c r="S121" s="1" t="s">
        <v>40</v>
      </c>
      <c r="T121" s="1">
        <v>3</v>
      </c>
      <c r="U121" s="1" t="s">
        <v>27</v>
      </c>
    </row>
    <row r="122" spans="1:21" ht="13" x14ac:dyDescent="0.15">
      <c r="A122" s="2">
        <v>45251.797867395835</v>
      </c>
      <c r="B122" s="1" t="s">
        <v>41</v>
      </c>
      <c r="C122" s="1" t="s">
        <v>21</v>
      </c>
      <c r="D122" s="1" t="s">
        <v>42</v>
      </c>
      <c r="F122" s="1" t="s">
        <v>23</v>
      </c>
      <c r="G122" s="1" t="s">
        <v>48</v>
      </c>
      <c r="H122" s="1" t="s">
        <v>79</v>
      </c>
      <c r="I122" s="1" t="s">
        <v>82</v>
      </c>
      <c r="J122" s="1" t="s">
        <v>27</v>
      </c>
      <c r="K122" s="1" t="s">
        <v>183</v>
      </c>
      <c r="L122" s="1" t="s">
        <v>29</v>
      </c>
      <c r="N122" s="1" t="s">
        <v>66</v>
      </c>
      <c r="O122" s="1" t="s">
        <v>71</v>
      </c>
      <c r="P122" s="1" t="s">
        <v>32</v>
      </c>
      <c r="Q122" s="1" t="s">
        <v>33</v>
      </c>
      <c r="R122" s="1" t="s">
        <v>29</v>
      </c>
      <c r="S122" s="1" t="s">
        <v>40</v>
      </c>
      <c r="T122" s="1">
        <v>4</v>
      </c>
      <c r="U122" s="1" t="s">
        <v>27</v>
      </c>
    </row>
    <row r="123" spans="1:21" ht="13" x14ac:dyDescent="0.15">
      <c r="A123" s="2">
        <v>45251.807915324069</v>
      </c>
      <c r="B123" s="1" t="s">
        <v>41</v>
      </c>
      <c r="C123" s="1" t="s">
        <v>21</v>
      </c>
      <c r="D123" s="1" t="s">
        <v>60</v>
      </c>
      <c r="E123" s="1" t="s">
        <v>68</v>
      </c>
      <c r="F123" s="1" t="s">
        <v>47</v>
      </c>
      <c r="G123" s="1" t="s">
        <v>48</v>
      </c>
      <c r="H123" s="1" t="s">
        <v>84</v>
      </c>
      <c r="I123" s="1" t="s">
        <v>63</v>
      </c>
      <c r="J123" s="1" t="s">
        <v>27</v>
      </c>
      <c r="K123" s="1" t="s">
        <v>184</v>
      </c>
      <c r="L123" s="1" t="s">
        <v>29</v>
      </c>
      <c r="N123" s="1" t="s">
        <v>66</v>
      </c>
      <c r="O123" s="1" t="s">
        <v>46</v>
      </c>
      <c r="P123" s="1" t="s">
        <v>32</v>
      </c>
      <c r="Q123" s="1" t="s">
        <v>33</v>
      </c>
      <c r="R123" s="1" t="s">
        <v>29</v>
      </c>
      <c r="S123" s="1" t="s">
        <v>67</v>
      </c>
      <c r="T123" s="1">
        <v>5</v>
      </c>
      <c r="U123" s="1" t="s">
        <v>27</v>
      </c>
    </row>
    <row r="124" spans="1:21" ht="13" x14ac:dyDescent="0.15">
      <c r="A124" s="2">
        <v>45251.808582199075</v>
      </c>
      <c r="B124" s="1" t="s">
        <v>20</v>
      </c>
      <c r="C124" s="1" t="s">
        <v>21</v>
      </c>
      <c r="D124" s="1" t="s">
        <v>60</v>
      </c>
      <c r="E124" s="1" t="s">
        <v>61</v>
      </c>
      <c r="F124" s="1" t="s">
        <v>23</v>
      </c>
      <c r="G124" s="1" t="s">
        <v>35</v>
      </c>
      <c r="H124" s="1" t="s">
        <v>73</v>
      </c>
      <c r="I124" s="1" t="s">
        <v>52</v>
      </c>
      <c r="J124" s="1" t="s">
        <v>29</v>
      </c>
      <c r="L124" s="1" t="s">
        <v>29</v>
      </c>
      <c r="N124" s="1" t="s">
        <v>38</v>
      </c>
      <c r="O124" s="1" t="s">
        <v>46</v>
      </c>
      <c r="P124" s="1" t="s">
        <v>74</v>
      </c>
      <c r="Q124" s="1" t="s">
        <v>53</v>
      </c>
      <c r="R124" s="1" t="s">
        <v>29</v>
      </c>
      <c r="S124" s="1" t="s">
        <v>54</v>
      </c>
      <c r="T124" s="1">
        <v>4</v>
      </c>
      <c r="U124" s="1" t="s">
        <v>27</v>
      </c>
    </row>
    <row r="125" spans="1:21" ht="13" x14ac:dyDescent="0.15">
      <c r="A125" s="2">
        <v>45251.815429062495</v>
      </c>
      <c r="B125" s="1" t="s">
        <v>41</v>
      </c>
      <c r="C125" s="1" t="s">
        <v>72</v>
      </c>
      <c r="D125" s="1" t="s">
        <v>60</v>
      </c>
      <c r="E125" s="1" t="s">
        <v>68</v>
      </c>
      <c r="F125" s="1" t="s">
        <v>47</v>
      </c>
      <c r="G125" s="1" t="s">
        <v>48</v>
      </c>
      <c r="H125" s="1" t="s">
        <v>127</v>
      </c>
      <c r="I125" s="1" t="s">
        <v>63</v>
      </c>
      <c r="J125" s="1" t="s">
        <v>29</v>
      </c>
      <c r="L125" s="1" t="s">
        <v>29</v>
      </c>
      <c r="N125" s="1" t="s">
        <v>38</v>
      </c>
      <c r="O125" s="1" t="s">
        <v>31</v>
      </c>
      <c r="P125" s="1" t="s">
        <v>50</v>
      </c>
      <c r="Q125" s="1" t="s">
        <v>53</v>
      </c>
      <c r="R125" s="1" t="s">
        <v>27</v>
      </c>
      <c r="S125" s="1" t="s">
        <v>54</v>
      </c>
      <c r="T125" s="1">
        <v>4</v>
      </c>
      <c r="U125" s="1" t="s">
        <v>29</v>
      </c>
    </row>
    <row r="126" spans="1:21" ht="13" x14ac:dyDescent="0.15">
      <c r="A126" s="2">
        <v>45251.816763067131</v>
      </c>
      <c r="B126" s="1" t="s">
        <v>20</v>
      </c>
      <c r="C126" s="1" t="s">
        <v>56</v>
      </c>
      <c r="D126" s="1" t="s">
        <v>51</v>
      </c>
      <c r="F126" s="1" t="s">
        <v>47</v>
      </c>
      <c r="G126" s="1" t="s">
        <v>35</v>
      </c>
      <c r="H126" s="1" t="s">
        <v>109</v>
      </c>
      <c r="I126" s="1" t="s">
        <v>26</v>
      </c>
      <c r="J126" s="1" t="s">
        <v>29</v>
      </c>
      <c r="L126" s="1" t="s">
        <v>29</v>
      </c>
      <c r="N126" s="1" t="s">
        <v>38</v>
      </c>
      <c r="O126" s="1" t="s">
        <v>31</v>
      </c>
      <c r="P126" s="1" t="s">
        <v>74</v>
      </c>
      <c r="Q126" s="1" t="s">
        <v>33</v>
      </c>
      <c r="R126" s="1" t="s">
        <v>27</v>
      </c>
      <c r="S126" s="1" t="s">
        <v>54</v>
      </c>
      <c r="T126" s="1">
        <v>2</v>
      </c>
      <c r="U126" s="1" t="s">
        <v>29</v>
      </c>
    </row>
    <row r="127" spans="1:21" ht="13" x14ac:dyDescent="0.15">
      <c r="A127" s="2">
        <v>45251.837336724537</v>
      </c>
      <c r="B127" s="1" t="s">
        <v>41</v>
      </c>
      <c r="C127" s="1" t="s">
        <v>75</v>
      </c>
      <c r="D127" s="1" t="s">
        <v>60</v>
      </c>
      <c r="E127" s="1" t="s">
        <v>68</v>
      </c>
      <c r="F127" s="1" t="s">
        <v>47</v>
      </c>
      <c r="G127" s="1" t="s">
        <v>35</v>
      </c>
      <c r="H127" s="1" t="s">
        <v>44</v>
      </c>
      <c r="I127" s="1" t="s">
        <v>63</v>
      </c>
      <c r="J127" s="1" t="s">
        <v>29</v>
      </c>
      <c r="L127" s="1" t="s">
        <v>29</v>
      </c>
      <c r="N127" s="1" t="s">
        <v>38</v>
      </c>
      <c r="O127" s="1" t="s">
        <v>46</v>
      </c>
      <c r="P127" s="1" t="s">
        <v>74</v>
      </c>
      <c r="Q127" s="1" t="s">
        <v>33</v>
      </c>
      <c r="R127" s="1" t="s">
        <v>27</v>
      </c>
      <c r="S127" s="1" t="s">
        <v>54</v>
      </c>
      <c r="T127" s="1">
        <v>3</v>
      </c>
      <c r="U127" s="1" t="s">
        <v>29</v>
      </c>
    </row>
    <row r="128" spans="1:21" ht="13" x14ac:dyDescent="0.15">
      <c r="A128" s="2">
        <v>45251.85367887732</v>
      </c>
      <c r="B128" s="1" t="s">
        <v>41</v>
      </c>
      <c r="C128" s="1" t="s">
        <v>75</v>
      </c>
      <c r="D128" s="1" t="s">
        <v>60</v>
      </c>
      <c r="E128" s="1" t="s">
        <v>68</v>
      </c>
      <c r="F128" s="1" t="s">
        <v>47</v>
      </c>
      <c r="G128" s="1" t="s">
        <v>48</v>
      </c>
      <c r="H128" s="1" t="s">
        <v>103</v>
      </c>
      <c r="I128" s="1" t="s">
        <v>63</v>
      </c>
      <c r="J128" s="1" t="s">
        <v>29</v>
      </c>
      <c r="L128" s="1" t="s">
        <v>29</v>
      </c>
      <c r="N128" s="1" t="s">
        <v>30</v>
      </c>
      <c r="O128" s="1" t="s">
        <v>31</v>
      </c>
      <c r="P128" s="1" t="s">
        <v>74</v>
      </c>
      <c r="Q128" s="1" t="s">
        <v>33</v>
      </c>
      <c r="R128" s="1" t="s">
        <v>29</v>
      </c>
      <c r="S128" s="1" t="s">
        <v>54</v>
      </c>
      <c r="T128" s="1">
        <v>2</v>
      </c>
      <c r="U128" s="1" t="s">
        <v>27</v>
      </c>
    </row>
    <row r="129" spans="1:21" ht="13" x14ac:dyDescent="0.15">
      <c r="A129" s="2">
        <v>45251.864192893518</v>
      </c>
      <c r="B129" s="1" t="s">
        <v>41</v>
      </c>
      <c r="C129" s="1" t="s">
        <v>77</v>
      </c>
      <c r="D129" s="1" t="s">
        <v>60</v>
      </c>
      <c r="E129" s="1" t="s">
        <v>61</v>
      </c>
      <c r="F129" s="1" t="s">
        <v>23</v>
      </c>
      <c r="G129" s="1" t="s">
        <v>43</v>
      </c>
      <c r="H129" s="1" t="s">
        <v>93</v>
      </c>
      <c r="I129" s="1" t="s">
        <v>26</v>
      </c>
      <c r="J129" s="1" t="s">
        <v>29</v>
      </c>
      <c r="L129" s="1" t="s">
        <v>29</v>
      </c>
      <c r="N129" s="1" t="s">
        <v>30</v>
      </c>
      <c r="O129" s="1" t="s">
        <v>46</v>
      </c>
      <c r="P129" s="1" t="s">
        <v>74</v>
      </c>
      <c r="Q129" s="1" t="s">
        <v>33</v>
      </c>
      <c r="R129" s="1" t="s">
        <v>27</v>
      </c>
      <c r="S129" s="1" t="s">
        <v>67</v>
      </c>
      <c r="T129" s="1">
        <v>3</v>
      </c>
      <c r="U129" s="1" t="s">
        <v>27</v>
      </c>
    </row>
    <row r="130" spans="1:21" ht="13" x14ac:dyDescent="0.15">
      <c r="A130" s="2">
        <v>45251.869960185184</v>
      </c>
      <c r="B130" s="1" t="s">
        <v>41</v>
      </c>
      <c r="C130" s="1" t="s">
        <v>56</v>
      </c>
      <c r="D130" s="1" t="s">
        <v>51</v>
      </c>
      <c r="F130" s="1" t="s">
        <v>47</v>
      </c>
      <c r="G130" s="1" t="s">
        <v>35</v>
      </c>
      <c r="H130" s="1" t="s">
        <v>89</v>
      </c>
      <c r="I130" s="1" t="s">
        <v>52</v>
      </c>
      <c r="J130" s="1" t="s">
        <v>29</v>
      </c>
      <c r="L130" s="1" t="s">
        <v>29</v>
      </c>
      <c r="N130" s="1" t="s">
        <v>66</v>
      </c>
      <c r="O130" s="1" t="s">
        <v>185</v>
      </c>
      <c r="P130" s="1" t="s">
        <v>50</v>
      </c>
      <c r="Q130" s="1" t="s">
        <v>53</v>
      </c>
      <c r="R130" s="1" t="s">
        <v>27</v>
      </c>
      <c r="S130" s="1" t="s">
        <v>40</v>
      </c>
      <c r="T130" s="1">
        <v>4</v>
      </c>
      <c r="U130" s="1" t="s">
        <v>27</v>
      </c>
    </row>
    <row r="131" spans="1:21" ht="13" x14ac:dyDescent="0.15">
      <c r="A131" s="2">
        <v>45251.878981342597</v>
      </c>
      <c r="B131" s="1" t="s">
        <v>20</v>
      </c>
      <c r="C131" s="1" t="s">
        <v>56</v>
      </c>
      <c r="D131" s="1" t="s">
        <v>51</v>
      </c>
      <c r="F131" s="1" t="s">
        <v>23</v>
      </c>
      <c r="G131" s="1" t="s">
        <v>43</v>
      </c>
      <c r="H131" s="1" t="s">
        <v>79</v>
      </c>
      <c r="I131" s="1" t="s">
        <v>26</v>
      </c>
      <c r="J131" s="1" t="s">
        <v>29</v>
      </c>
      <c r="L131" s="1" t="s">
        <v>29</v>
      </c>
      <c r="N131" s="1" t="s">
        <v>186</v>
      </c>
      <c r="O131" s="1" t="s">
        <v>46</v>
      </c>
      <c r="P131" s="1" t="s">
        <v>74</v>
      </c>
      <c r="Q131" s="1" t="s">
        <v>33</v>
      </c>
      <c r="R131" s="1" t="s">
        <v>27</v>
      </c>
      <c r="S131" s="1" t="s">
        <v>54</v>
      </c>
      <c r="T131" s="1">
        <v>3</v>
      </c>
      <c r="U131" s="1" t="s">
        <v>29</v>
      </c>
    </row>
    <row r="132" spans="1:21" ht="13" x14ac:dyDescent="0.15">
      <c r="A132" s="2">
        <v>45251.884422754629</v>
      </c>
      <c r="B132" s="1" t="s">
        <v>41</v>
      </c>
      <c r="C132" s="1" t="s">
        <v>75</v>
      </c>
      <c r="D132" s="1" t="s">
        <v>60</v>
      </c>
      <c r="E132" s="1" t="s">
        <v>61</v>
      </c>
      <c r="F132" s="1" t="s">
        <v>57</v>
      </c>
      <c r="G132" s="1" t="s">
        <v>83</v>
      </c>
      <c r="H132" s="1" t="s">
        <v>81</v>
      </c>
      <c r="I132" s="1" t="s">
        <v>63</v>
      </c>
      <c r="J132" s="1" t="s">
        <v>29</v>
      </c>
      <c r="L132" s="1" t="s">
        <v>29</v>
      </c>
      <c r="N132" s="1" t="s">
        <v>66</v>
      </c>
      <c r="O132" s="1" t="s">
        <v>46</v>
      </c>
      <c r="P132" s="1" t="s">
        <v>32</v>
      </c>
      <c r="Q132" s="1" t="s">
        <v>53</v>
      </c>
      <c r="R132" s="1" t="s">
        <v>29</v>
      </c>
      <c r="S132" s="1" t="s">
        <v>40</v>
      </c>
      <c r="T132" s="1">
        <v>1</v>
      </c>
      <c r="U132" s="1" t="s">
        <v>27</v>
      </c>
    </row>
    <row r="133" spans="1:21" ht="13" x14ac:dyDescent="0.15">
      <c r="A133" s="2">
        <v>45251.907799606481</v>
      </c>
      <c r="B133" s="1" t="s">
        <v>41</v>
      </c>
      <c r="C133" s="1" t="s">
        <v>21</v>
      </c>
      <c r="D133" s="1" t="s">
        <v>51</v>
      </c>
      <c r="F133" s="1" t="s">
        <v>23</v>
      </c>
      <c r="G133" s="1" t="s">
        <v>35</v>
      </c>
      <c r="H133" s="1" t="s">
        <v>89</v>
      </c>
      <c r="I133" s="1" t="s">
        <v>63</v>
      </c>
      <c r="J133" s="1" t="s">
        <v>29</v>
      </c>
      <c r="L133" s="1" t="s">
        <v>29</v>
      </c>
      <c r="N133" s="1" t="s">
        <v>30</v>
      </c>
      <c r="O133" s="1" t="s">
        <v>71</v>
      </c>
      <c r="P133" s="1" t="s">
        <v>32</v>
      </c>
      <c r="Q133" s="1" t="s">
        <v>33</v>
      </c>
      <c r="R133" s="1" t="s">
        <v>29</v>
      </c>
      <c r="S133" s="1" t="s">
        <v>54</v>
      </c>
      <c r="T133" s="1">
        <v>4</v>
      </c>
      <c r="U133" s="1" t="s">
        <v>27</v>
      </c>
    </row>
    <row r="134" spans="1:21" ht="13" x14ac:dyDescent="0.15">
      <c r="A134" s="2">
        <v>45251.908089363424</v>
      </c>
      <c r="B134" s="1" t="s">
        <v>41</v>
      </c>
      <c r="C134" s="1" t="s">
        <v>56</v>
      </c>
      <c r="D134" s="1" t="s">
        <v>51</v>
      </c>
      <c r="F134" s="1" t="s">
        <v>47</v>
      </c>
      <c r="G134" s="1" t="s">
        <v>35</v>
      </c>
      <c r="H134" s="1" t="s">
        <v>84</v>
      </c>
      <c r="I134" s="1" t="s">
        <v>26</v>
      </c>
      <c r="J134" s="1" t="s">
        <v>29</v>
      </c>
      <c r="L134" s="1" t="s">
        <v>29</v>
      </c>
      <c r="N134" s="1" t="s">
        <v>38</v>
      </c>
      <c r="O134" s="1" t="s">
        <v>46</v>
      </c>
      <c r="P134" s="1" t="s">
        <v>74</v>
      </c>
      <c r="Q134" s="1" t="s">
        <v>114</v>
      </c>
      <c r="R134" s="1" t="s">
        <v>29</v>
      </c>
      <c r="S134" s="1" t="s">
        <v>40</v>
      </c>
      <c r="T134" s="1">
        <v>4</v>
      </c>
      <c r="U134" s="1" t="s">
        <v>29</v>
      </c>
    </row>
    <row r="135" spans="1:21" ht="13" x14ac:dyDescent="0.15">
      <c r="A135" s="2">
        <v>45251.908119664353</v>
      </c>
      <c r="B135" s="1" t="s">
        <v>41</v>
      </c>
      <c r="C135" s="1" t="s">
        <v>21</v>
      </c>
      <c r="D135" s="1" t="s">
        <v>42</v>
      </c>
      <c r="F135" s="1" t="s">
        <v>23</v>
      </c>
      <c r="G135" s="1" t="s">
        <v>35</v>
      </c>
      <c r="H135" s="1" t="s">
        <v>79</v>
      </c>
      <c r="I135" s="1" t="s">
        <v>26</v>
      </c>
      <c r="J135" s="1" t="s">
        <v>27</v>
      </c>
      <c r="K135" s="1" t="s">
        <v>187</v>
      </c>
      <c r="L135" s="1" t="s">
        <v>27</v>
      </c>
      <c r="M135" s="1" t="s">
        <v>188</v>
      </c>
      <c r="N135" s="1" t="s">
        <v>30</v>
      </c>
      <c r="O135" s="1" t="s">
        <v>71</v>
      </c>
      <c r="P135" s="1" t="s">
        <v>32</v>
      </c>
      <c r="Q135" s="1" t="s">
        <v>33</v>
      </c>
      <c r="R135" s="1" t="s">
        <v>29</v>
      </c>
      <c r="S135" s="1" t="s">
        <v>40</v>
      </c>
      <c r="T135" s="1">
        <v>4</v>
      </c>
      <c r="U135" s="1" t="s">
        <v>27</v>
      </c>
    </row>
    <row r="136" spans="1:21" ht="13" x14ac:dyDescent="0.15">
      <c r="A136" s="2">
        <v>45251.908433020828</v>
      </c>
      <c r="B136" s="1" t="s">
        <v>20</v>
      </c>
      <c r="C136" s="1" t="s">
        <v>56</v>
      </c>
      <c r="D136" s="1" t="s">
        <v>51</v>
      </c>
      <c r="F136" s="1" t="s">
        <v>47</v>
      </c>
      <c r="G136" s="1" t="s">
        <v>43</v>
      </c>
      <c r="H136" s="1" t="s">
        <v>189</v>
      </c>
      <c r="I136" s="1" t="s">
        <v>26</v>
      </c>
      <c r="J136" s="1" t="s">
        <v>29</v>
      </c>
      <c r="L136" s="1" t="s">
        <v>29</v>
      </c>
      <c r="N136" s="1" t="s">
        <v>190</v>
      </c>
      <c r="O136" s="1" t="s">
        <v>71</v>
      </c>
      <c r="P136" s="1" t="s">
        <v>74</v>
      </c>
      <c r="Q136" s="1" t="s">
        <v>33</v>
      </c>
      <c r="R136" s="1" t="s">
        <v>29</v>
      </c>
      <c r="S136" s="1" t="s">
        <v>40</v>
      </c>
      <c r="T136" s="1">
        <v>3</v>
      </c>
      <c r="U136" s="1" t="s">
        <v>29</v>
      </c>
    </row>
    <row r="137" spans="1:21" ht="13" x14ac:dyDescent="0.15">
      <c r="A137" s="2">
        <v>45251.90844295139</v>
      </c>
      <c r="B137" s="1" t="s">
        <v>20</v>
      </c>
      <c r="C137" s="1" t="s">
        <v>21</v>
      </c>
      <c r="D137" s="1" t="s">
        <v>55</v>
      </c>
      <c r="F137" s="1" t="s">
        <v>23</v>
      </c>
      <c r="G137" s="1" t="s">
        <v>48</v>
      </c>
      <c r="H137" s="1" t="s">
        <v>84</v>
      </c>
      <c r="I137" s="1" t="s">
        <v>26</v>
      </c>
      <c r="J137" s="1" t="s">
        <v>29</v>
      </c>
      <c r="L137" s="1" t="s">
        <v>29</v>
      </c>
      <c r="N137" s="1" t="s">
        <v>66</v>
      </c>
      <c r="O137" s="1" t="s">
        <v>191</v>
      </c>
      <c r="P137" s="1" t="s">
        <v>74</v>
      </c>
      <c r="Q137" s="1" t="s">
        <v>33</v>
      </c>
      <c r="R137" s="1" t="s">
        <v>27</v>
      </c>
      <c r="S137" s="1" t="s">
        <v>54</v>
      </c>
      <c r="T137" s="1">
        <v>4</v>
      </c>
      <c r="U137" s="1" t="s">
        <v>27</v>
      </c>
    </row>
    <row r="138" spans="1:21" ht="13" x14ac:dyDescent="0.15">
      <c r="A138" s="2">
        <v>45251.908496689815</v>
      </c>
      <c r="B138" s="1" t="s">
        <v>41</v>
      </c>
      <c r="C138" s="1" t="s">
        <v>21</v>
      </c>
      <c r="D138" s="1" t="s">
        <v>51</v>
      </c>
      <c r="F138" s="1" t="s">
        <v>57</v>
      </c>
      <c r="G138" s="1" t="s">
        <v>43</v>
      </c>
      <c r="H138" s="1" t="s">
        <v>70</v>
      </c>
      <c r="I138" s="1" t="s">
        <v>63</v>
      </c>
      <c r="J138" s="1" t="s">
        <v>27</v>
      </c>
      <c r="K138" s="1" t="s">
        <v>159</v>
      </c>
      <c r="L138" s="1" t="s">
        <v>27</v>
      </c>
      <c r="M138" s="1" t="s">
        <v>192</v>
      </c>
      <c r="N138" s="1" t="s">
        <v>38</v>
      </c>
      <c r="O138" s="1" t="s">
        <v>46</v>
      </c>
      <c r="P138" s="1" t="s">
        <v>50</v>
      </c>
      <c r="Q138" s="1" t="s">
        <v>33</v>
      </c>
      <c r="R138" s="1" t="s">
        <v>29</v>
      </c>
      <c r="S138" s="1" t="s">
        <v>40</v>
      </c>
      <c r="T138" s="1">
        <v>5</v>
      </c>
      <c r="U138" s="1" t="s">
        <v>27</v>
      </c>
    </row>
    <row r="139" spans="1:21" ht="13" x14ac:dyDescent="0.15">
      <c r="A139" s="2">
        <v>45251.908716238424</v>
      </c>
      <c r="B139" s="1" t="s">
        <v>20</v>
      </c>
      <c r="C139" s="1" t="s">
        <v>56</v>
      </c>
      <c r="D139" s="1" t="s">
        <v>51</v>
      </c>
      <c r="F139" s="1" t="s">
        <v>23</v>
      </c>
      <c r="G139" s="1" t="s">
        <v>43</v>
      </c>
      <c r="H139" s="1" t="s">
        <v>81</v>
      </c>
      <c r="I139" s="1" t="s">
        <v>52</v>
      </c>
      <c r="J139" s="1" t="s">
        <v>27</v>
      </c>
      <c r="K139" s="1" t="s">
        <v>193</v>
      </c>
      <c r="L139" s="1" t="s">
        <v>29</v>
      </c>
      <c r="N139" s="1" t="s">
        <v>30</v>
      </c>
      <c r="O139" s="1" t="s">
        <v>46</v>
      </c>
      <c r="P139" s="1" t="s">
        <v>32</v>
      </c>
      <c r="Q139" s="1" t="s">
        <v>33</v>
      </c>
      <c r="R139" s="1" t="s">
        <v>29</v>
      </c>
      <c r="S139" s="1" t="s">
        <v>54</v>
      </c>
      <c r="T139" s="1">
        <v>5</v>
      </c>
      <c r="U139" s="1" t="s">
        <v>27</v>
      </c>
    </row>
    <row r="140" spans="1:21" ht="13" x14ac:dyDescent="0.15">
      <c r="A140" s="2">
        <v>45251.908738564816</v>
      </c>
      <c r="B140" s="1" t="s">
        <v>41</v>
      </c>
      <c r="C140" s="1" t="s">
        <v>21</v>
      </c>
      <c r="D140" s="1" t="s">
        <v>51</v>
      </c>
      <c r="F140" s="1" t="s">
        <v>23</v>
      </c>
      <c r="G140" s="1" t="s">
        <v>43</v>
      </c>
      <c r="H140" s="1" t="s">
        <v>89</v>
      </c>
      <c r="I140" s="1" t="s">
        <v>63</v>
      </c>
      <c r="J140" s="1" t="s">
        <v>27</v>
      </c>
      <c r="K140" s="1" t="s">
        <v>159</v>
      </c>
      <c r="L140" s="1" t="s">
        <v>29</v>
      </c>
      <c r="N140" s="1" t="s">
        <v>38</v>
      </c>
      <c r="O140" s="1" t="s">
        <v>46</v>
      </c>
      <c r="P140" s="1" t="s">
        <v>50</v>
      </c>
      <c r="Q140" s="1" t="s">
        <v>33</v>
      </c>
      <c r="R140" s="1" t="s">
        <v>29</v>
      </c>
      <c r="S140" s="1" t="s">
        <v>40</v>
      </c>
      <c r="T140" s="1">
        <v>5</v>
      </c>
      <c r="U140" s="1" t="s">
        <v>27</v>
      </c>
    </row>
    <row r="141" spans="1:21" ht="13" x14ac:dyDescent="0.15">
      <c r="A141" s="2">
        <v>45251.908907696758</v>
      </c>
      <c r="B141" s="1" t="s">
        <v>41</v>
      </c>
      <c r="C141" s="1" t="s">
        <v>21</v>
      </c>
      <c r="D141" s="1" t="s">
        <v>42</v>
      </c>
      <c r="F141" s="1" t="s">
        <v>23</v>
      </c>
      <c r="G141" s="1" t="s">
        <v>35</v>
      </c>
      <c r="H141" s="1" t="s">
        <v>79</v>
      </c>
      <c r="I141" s="1" t="s">
        <v>26</v>
      </c>
      <c r="J141" s="1" t="s">
        <v>29</v>
      </c>
      <c r="L141" s="1" t="s">
        <v>29</v>
      </c>
      <c r="N141" s="1" t="s">
        <v>38</v>
      </c>
      <c r="O141" s="1" t="s">
        <v>46</v>
      </c>
      <c r="P141" s="1" t="s">
        <v>32</v>
      </c>
      <c r="Q141" s="1" t="s">
        <v>33</v>
      </c>
      <c r="R141" s="1" t="s">
        <v>27</v>
      </c>
      <c r="S141" s="1" t="s">
        <v>194</v>
      </c>
      <c r="T141" s="1">
        <v>5</v>
      </c>
      <c r="U141" s="1" t="s">
        <v>27</v>
      </c>
    </row>
    <row r="142" spans="1:21" ht="13" x14ac:dyDescent="0.15">
      <c r="A142" s="2">
        <v>45251.909170451385</v>
      </c>
      <c r="B142" s="1" t="s">
        <v>20</v>
      </c>
      <c r="C142" s="1" t="s">
        <v>56</v>
      </c>
      <c r="D142" s="1" t="s">
        <v>51</v>
      </c>
      <c r="F142" s="1" t="s">
        <v>47</v>
      </c>
      <c r="G142" s="1" t="s">
        <v>35</v>
      </c>
      <c r="H142" s="1" t="s">
        <v>195</v>
      </c>
      <c r="I142" s="1" t="s">
        <v>63</v>
      </c>
      <c r="J142" s="1" t="s">
        <v>29</v>
      </c>
      <c r="L142" s="1" t="s">
        <v>29</v>
      </c>
      <c r="N142" s="1" t="s">
        <v>38</v>
      </c>
      <c r="O142" s="1" t="s">
        <v>46</v>
      </c>
      <c r="P142" s="1" t="s">
        <v>74</v>
      </c>
      <c r="Q142" s="1" t="s">
        <v>33</v>
      </c>
      <c r="R142" s="1" t="s">
        <v>27</v>
      </c>
      <c r="S142" s="1" t="s">
        <v>54</v>
      </c>
      <c r="T142" s="1">
        <v>2</v>
      </c>
      <c r="U142" s="1" t="s">
        <v>29</v>
      </c>
    </row>
    <row r="143" spans="1:21" ht="13" x14ac:dyDescent="0.15">
      <c r="A143" s="2">
        <v>45251.910125266208</v>
      </c>
      <c r="B143" s="1" t="s">
        <v>20</v>
      </c>
      <c r="C143" s="1" t="s">
        <v>21</v>
      </c>
      <c r="D143" s="1" t="s">
        <v>42</v>
      </c>
      <c r="F143" s="1" t="s">
        <v>57</v>
      </c>
      <c r="G143" s="1" t="s">
        <v>58</v>
      </c>
      <c r="H143" s="1" t="s">
        <v>81</v>
      </c>
      <c r="I143" s="1" t="s">
        <v>26</v>
      </c>
      <c r="J143" s="1" t="s">
        <v>27</v>
      </c>
      <c r="K143" s="1" t="s">
        <v>159</v>
      </c>
      <c r="L143" s="1" t="s">
        <v>29</v>
      </c>
      <c r="N143" s="1" t="s">
        <v>38</v>
      </c>
      <c r="O143" s="1" t="s">
        <v>101</v>
      </c>
      <c r="P143" s="1" t="s">
        <v>74</v>
      </c>
      <c r="Q143" s="1" t="s">
        <v>33</v>
      </c>
      <c r="R143" s="1" t="s">
        <v>29</v>
      </c>
      <c r="S143" s="1" t="s">
        <v>67</v>
      </c>
      <c r="T143" s="1">
        <v>3</v>
      </c>
      <c r="U143" s="1" t="s">
        <v>27</v>
      </c>
    </row>
    <row r="144" spans="1:21" ht="13" x14ac:dyDescent="0.15">
      <c r="A144" s="2">
        <v>45251.911031053241</v>
      </c>
      <c r="B144" s="1" t="s">
        <v>41</v>
      </c>
      <c r="C144" s="1" t="s">
        <v>21</v>
      </c>
      <c r="D144" s="1" t="s">
        <v>51</v>
      </c>
      <c r="F144" s="1" t="s">
        <v>23</v>
      </c>
      <c r="G144" s="1" t="s">
        <v>43</v>
      </c>
      <c r="H144" s="1" t="s">
        <v>73</v>
      </c>
      <c r="I144" s="1" t="s">
        <v>82</v>
      </c>
      <c r="J144" s="1" t="s">
        <v>29</v>
      </c>
      <c r="L144" s="1" t="s">
        <v>27</v>
      </c>
      <c r="M144" s="1" t="s">
        <v>196</v>
      </c>
      <c r="N144" s="1" t="s">
        <v>38</v>
      </c>
      <c r="O144" s="1" t="s">
        <v>46</v>
      </c>
      <c r="P144" s="1" t="s">
        <v>32</v>
      </c>
      <c r="Q144" s="1" t="s">
        <v>33</v>
      </c>
      <c r="R144" s="1" t="s">
        <v>29</v>
      </c>
      <c r="S144" s="1" t="s">
        <v>40</v>
      </c>
      <c r="T144" s="1">
        <v>4</v>
      </c>
      <c r="U144" s="1" t="s">
        <v>27</v>
      </c>
    </row>
    <row r="145" spans="1:21" ht="13" x14ac:dyDescent="0.15">
      <c r="A145" s="2">
        <v>45251.912558981479</v>
      </c>
      <c r="B145" s="1" t="s">
        <v>41</v>
      </c>
      <c r="C145" s="1" t="s">
        <v>72</v>
      </c>
      <c r="D145" s="1" t="s">
        <v>60</v>
      </c>
      <c r="E145" s="1" t="s">
        <v>68</v>
      </c>
      <c r="F145" s="1" t="s">
        <v>23</v>
      </c>
      <c r="G145" s="1" t="s">
        <v>48</v>
      </c>
      <c r="H145" s="1" t="s">
        <v>189</v>
      </c>
      <c r="I145" s="1" t="s">
        <v>63</v>
      </c>
      <c r="J145" s="1" t="s">
        <v>27</v>
      </c>
      <c r="K145" s="1" t="s">
        <v>197</v>
      </c>
      <c r="L145" s="1" t="s">
        <v>29</v>
      </c>
      <c r="N145" s="1" t="s">
        <v>38</v>
      </c>
      <c r="O145" s="1" t="s">
        <v>46</v>
      </c>
      <c r="P145" s="1" t="s">
        <v>50</v>
      </c>
      <c r="Q145" s="1" t="s">
        <v>33</v>
      </c>
      <c r="R145" s="1" t="s">
        <v>27</v>
      </c>
      <c r="S145" s="1" t="s">
        <v>54</v>
      </c>
      <c r="T145" s="1">
        <v>5</v>
      </c>
      <c r="U145" s="1" t="s">
        <v>27</v>
      </c>
    </row>
    <row r="146" spans="1:21" ht="13" x14ac:dyDescent="0.15">
      <c r="A146" s="2">
        <v>45251.912693043982</v>
      </c>
      <c r="B146" s="1" t="s">
        <v>55</v>
      </c>
      <c r="C146" s="1" t="s">
        <v>72</v>
      </c>
      <c r="D146" s="1" t="s">
        <v>60</v>
      </c>
      <c r="E146" s="1" t="s">
        <v>61</v>
      </c>
      <c r="F146" s="1" t="s">
        <v>57</v>
      </c>
      <c r="G146" s="1" t="s">
        <v>198</v>
      </c>
      <c r="H146" s="1" t="s">
        <v>81</v>
      </c>
      <c r="I146" s="1" t="s">
        <v>63</v>
      </c>
      <c r="J146" s="1" t="s">
        <v>29</v>
      </c>
      <c r="L146" s="1" t="s">
        <v>29</v>
      </c>
      <c r="N146" s="1" t="s">
        <v>66</v>
      </c>
      <c r="O146" s="1" t="s">
        <v>116</v>
      </c>
      <c r="P146" s="1" t="s">
        <v>64</v>
      </c>
      <c r="Q146" s="1" t="s">
        <v>199</v>
      </c>
      <c r="R146" s="1" t="s">
        <v>29</v>
      </c>
      <c r="S146" s="1" t="s">
        <v>40</v>
      </c>
      <c r="T146" s="1">
        <v>3</v>
      </c>
      <c r="U146" s="1" t="s">
        <v>29</v>
      </c>
    </row>
    <row r="147" spans="1:21" ht="13" x14ac:dyDescent="0.15">
      <c r="A147" s="2">
        <v>45251.912693877312</v>
      </c>
      <c r="B147" s="1" t="s">
        <v>20</v>
      </c>
      <c r="C147" s="1" t="s">
        <v>21</v>
      </c>
      <c r="D147" s="1" t="s">
        <v>51</v>
      </c>
      <c r="F147" s="1" t="s">
        <v>57</v>
      </c>
      <c r="G147" s="1" t="s">
        <v>83</v>
      </c>
      <c r="H147" s="1" t="s">
        <v>65</v>
      </c>
      <c r="I147" s="1" t="s">
        <v>63</v>
      </c>
      <c r="J147" s="1" t="s">
        <v>27</v>
      </c>
      <c r="K147" s="1" t="s">
        <v>200</v>
      </c>
      <c r="L147" s="1" t="s">
        <v>29</v>
      </c>
      <c r="N147" s="1" t="s">
        <v>38</v>
      </c>
      <c r="O147" s="1" t="s">
        <v>39</v>
      </c>
      <c r="P147" s="1" t="s">
        <v>32</v>
      </c>
      <c r="Q147" s="1" t="s">
        <v>33</v>
      </c>
      <c r="R147" s="1" t="s">
        <v>29</v>
      </c>
      <c r="S147" s="1" t="s">
        <v>54</v>
      </c>
      <c r="T147" s="1">
        <v>4</v>
      </c>
      <c r="U147" s="1" t="s">
        <v>27</v>
      </c>
    </row>
    <row r="148" spans="1:21" ht="13" x14ac:dyDescent="0.15">
      <c r="A148" s="2">
        <v>45251.913088912042</v>
      </c>
      <c r="B148" s="1" t="s">
        <v>20</v>
      </c>
      <c r="C148" s="1" t="s">
        <v>56</v>
      </c>
      <c r="D148" s="1" t="s">
        <v>51</v>
      </c>
      <c r="F148" s="1" t="s">
        <v>69</v>
      </c>
      <c r="G148" s="1" t="s">
        <v>48</v>
      </c>
      <c r="H148" s="1" t="s">
        <v>73</v>
      </c>
      <c r="I148" s="1" t="s">
        <v>82</v>
      </c>
      <c r="J148" s="1" t="s">
        <v>29</v>
      </c>
      <c r="L148" s="1" t="s">
        <v>29</v>
      </c>
      <c r="N148" s="1" t="s">
        <v>30</v>
      </c>
      <c r="O148" s="1" t="s">
        <v>116</v>
      </c>
      <c r="P148" s="1" t="s">
        <v>64</v>
      </c>
      <c r="Q148" s="1" t="s">
        <v>33</v>
      </c>
      <c r="R148" s="1" t="s">
        <v>27</v>
      </c>
      <c r="S148" s="1" t="s">
        <v>40</v>
      </c>
      <c r="T148" s="1">
        <v>3</v>
      </c>
      <c r="U148" s="1" t="s">
        <v>29</v>
      </c>
    </row>
    <row r="149" spans="1:21" ht="13" x14ac:dyDescent="0.15">
      <c r="A149" s="2">
        <v>45251.913173148147</v>
      </c>
      <c r="B149" s="1" t="s">
        <v>41</v>
      </c>
      <c r="C149" s="1" t="s">
        <v>21</v>
      </c>
      <c r="D149" s="1" t="s">
        <v>42</v>
      </c>
      <c r="F149" s="1" t="s">
        <v>23</v>
      </c>
      <c r="G149" s="1" t="s">
        <v>35</v>
      </c>
      <c r="H149" s="1" t="s">
        <v>79</v>
      </c>
      <c r="I149" s="1" t="s">
        <v>63</v>
      </c>
      <c r="J149" s="1" t="s">
        <v>27</v>
      </c>
      <c r="K149" s="1" t="s">
        <v>201</v>
      </c>
      <c r="L149" s="1" t="s">
        <v>29</v>
      </c>
      <c r="N149" s="1" t="s">
        <v>30</v>
      </c>
      <c r="O149" s="1" t="s">
        <v>31</v>
      </c>
      <c r="P149" s="1" t="s">
        <v>32</v>
      </c>
      <c r="Q149" s="1" t="s">
        <v>33</v>
      </c>
      <c r="R149" s="1" t="s">
        <v>29</v>
      </c>
      <c r="S149" s="1" t="s">
        <v>40</v>
      </c>
      <c r="T149" s="1">
        <v>3</v>
      </c>
      <c r="U149" s="1" t="s">
        <v>27</v>
      </c>
    </row>
    <row r="150" spans="1:21" ht="13" x14ac:dyDescent="0.15">
      <c r="A150" s="2">
        <v>45251.913237303241</v>
      </c>
      <c r="B150" s="1" t="s">
        <v>20</v>
      </c>
      <c r="C150" s="1" t="s">
        <v>21</v>
      </c>
      <c r="D150" s="1" t="s">
        <v>51</v>
      </c>
      <c r="F150" s="1" t="s">
        <v>23</v>
      </c>
      <c r="G150" s="1" t="s">
        <v>48</v>
      </c>
      <c r="H150" s="1" t="s">
        <v>25</v>
      </c>
      <c r="I150" s="1" t="s">
        <v>63</v>
      </c>
      <c r="J150" s="1" t="s">
        <v>29</v>
      </c>
      <c r="L150" s="1" t="s">
        <v>29</v>
      </c>
      <c r="N150" s="1" t="s">
        <v>30</v>
      </c>
      <c r="O150" s="1" t="s">
        <v>71</v>
      </c>
      <c r="P150" s="1" t="s">
        <v>50</v>
      </c>
      <c r="Q150" s="1" t="s">
        <v>114</v>
      </c>
      <c r="R150" s="1" t="s">
        <v>27</v>
      </c>
      <c r="S150" s="1" t="s">
        <v>54</v>
      </c>
      <c r="T150" s="1">
        <v>1</v>
      </c>
      <c r="U150" s="1" t="s">
        <v>29</v>
      </c>
    </row>
    <row r="151" spans="1:21" ht="13" x14ac:dyDescent="0.15">
      <c r="A151" s="2">
        <v>45251.915312384255</v>
      </c>
      <c r="B151" s="1" t="s">
        <v>41</v>
      </c>
      <c r="C151" s="1" t="s">
        <v>56</v>
      </c>
      <c r="D151" s="1" t="s">
        <v>51</v>
      </c>
      <c r="F151" s="1" t="s">
        <v>23</v>
      </c>
      <c r="G151" s="1" t="s">
        <v>43</v>
      </c>
      <c r="H151" s="1" t="s">
        <v>84</v>
      </c>
      <c r="I151" s="1" t="s">
        <v>63</v>
      </c>
      <c r="J151" s="1" t="s">
        <v>27</v>
      </c>
      <c r="K151" s="1" t="s">
        <v>202</v>
      </c>
      <c r="L151" s="1" t="s">
        <v>27</v>
      </c>
      <c r="M151" s="1" t="s">
        <v>203</v>
      </c>
      <c r="N151" s="1" t="s">
        <v>38</v>
      </c>
      <c r="O151" s="1" t="s">
        <v>46</v>
      </c>
      <c r="P151" s="1" t="s">
        <v>32</v>
      </c>
      <c r="Q151" s="1" t="s">
        <v>33</v>
      </c>
      <c r="R151" s="1" t="s">
        <v>29</v>
      </c>
      <c r="S151" s="1" t="s">
        <v>40</v>
      </c>
      <c r="T151" s="1">
        <v>4</v>
      </c>
      <c r="U151" s="1" t="s">
        <v>27</v>
      </c>
    </row>
    <row r="152" spans="1:21" ht="13" x14ac:dyDescent="0.15">
      <c r="A152" s="2">
        <v>45251.91691028935</v>
      </c>
      <c r="B152" s="1" t="s">
        <v>41</v>
      </c>
      <c r="C152" s="1" t="s">
        <v>21</v>
      </c>
      <c r="D152" s="1" t="s">
        <v>51</v>
      </c>
      <c r="F152" s="1" t="s">
        <v>23</v>
      </c>
      <c r="G152" s="1" t="s">
        <v>35</v>
      </c>
      <c r="H152" s="1" t="s">
        <v>204</v>
      </c>
      <c r="I152" s="1" t="s">
        <v>63</v>
      </c>
      <c r="J152" s="1" t="s">
        <v>29</v>
      </c>
      <c r="L152" s="1" t="s">
        <v>29</v>
      </c>
      <c r="N152" s="1" t="s">
        <v>38</v>
      </c>
      <c r="O152" s="1" t="s">
        <v>46</v>
      </c>
      <c r="P152" s="1" t="s">
        <v>32</v>
      </c>
      <c r="Q152" s="1" t="s">
        <v>33</v>
      </c>
      <c r="R152" s="1" t="s">
        <v>29</v>
      </c>
      <c r="S152" s="1" t="s">
        <v>40</v>
      </c>
      <c r="T152" s="1">
        <v>3</v>
      </c>
      <c r="U152" s="1" t="s">
        <v>27</v>
      </c>
    </row>
    <row r="153" spans="1:21" ht="13" x14ac:dyDescent="0.15">
      <c r="A153" s="2">
        <v>45251.923194479168</v>
      </c>
      <c r="B153" s="1" t="s">
        <v>20</v>
      </c>
      <c r="C153" s="1" t="s">
        <v>72</v>
      </c>
      <c r="D153" s="1" t="s">
        <v>55</v>
      </c>
      <c r="F153" s="1" t="s">
        <v>23</v>
      </c>
      <c r="G153" s="1" t="s">
        <v>43</v>
      </c>
      <c r="H153" s="1" t="s">
        <v>81</v>
      </c>
      <c r="I153" s="1" t="s">
        <v>63</v>
      </c>
      <c r="J153" s="1" t="s">
        <v>29</v>
      </c>
      <c r="L153" s="1" t="s">
        <v>29</v>
      </c>
      <c r="N153" s="1" t="s">
        <v>38</v>
      </c>
      <c r="O153" s="1" t="s">
        <v>46</v>
      </c>
      <c r="P153" s="1" t="s">
        <v>74</v>
      </c>
      <c r="Q153" s="1" t="s">
        <v>53</v>
      </c>
      <c r="R153" s="1" t="s">
        <v>27</v>
      </c>
      <c r="S153" s="1" t="s">
        <v>54</v>
      </c>
      <c r="T153" s="1">
        <v>3</v>
      </c>
      <c r="U153" s="1" t="s">
        <v>29</v>
      </c>
    </row>
    <row r="154" spans="1:21" ht="13" x14ac:dyDescent="0.15">
      <c r="A154" s="2">
        <v>45251.940109432871</v>
      </c>
      <c r="B154" s="1" t="s">
        <v>41</v>
      </c>
      <c r="C154" s="1" t="s">
        <v>21</v>
      </c>
      <c r="D154" s="1" t="s">
        <v>51</v>
      </c>
      <c r="F154" s="1" t="s">
        <v>23</v>
      </c>
      <c r="G154" s="1" t="s">
        <v>43</v>
      </c>
      <c r="H154" s="1" t="s">
        <v>79</v>
      </c>
      <c r="I154" s="1" t="s">
        <v>63</v>
      </c>
      <c r="J154" s="1" t="s">
        <v>29</v>
      </c>
      <c r="L154" s="1" t="s">
        <v>29</v>
      </c>
      <c r="N154" s="1" t="s">
        <v>38</v>
      </c>
      <c r="O154" s="1" t="s">
        <v>101</v>
      </c>
      <c r="P154" s="1" t="s">
        <v>74</v>
      </c>
      <c r="Q154" s="1" t="s">
        <v>33</v>
      </c>
      <c r="R154" s="1" t="s">
        <v>29</v>
      </c>
      <c r="S154" s="1" t="s">
        <v>40</v>
      </c>
      <c r="T154" s="1">
        <v>3</v>
      </c>
      <c r="U154" s="1" t="s">
        <v>27</v>
      </c>
    </row>
    <row r="155" spans="1:21" ht="13" x14ac:dyDescent="0.15">
      <c r="A155" s="2">
        <v>45251.946196111108</v>
      </c>
      <c r="B155" s="1" t="s">
        <v>20</v>
      </c>
      <c r="C155" s="1" t="s">
        <v>56</v>
      </c>
      <c r="D155" s="1" t="s">
        <v>51</v>
      </c>
      <c r="F155" s="1" t="s">
        <v>23</v>
      </c>
      <c r="G155" s="1" t="s">
        <v>35</v>
      </c>
      <c r="H155" s="1" t="s">
        <v>100</v>
      </c>
      <c r="I155" s="1" t="s">
        <v>82</v>
      </c>
      <c r="J155" s="1" t="s">
        <v>29</v>
      </c>
      <c r="L155" s="1" t="s">
        <v>27</v>
      </c>
      <c r="M155" s="1" t="s">
        <v>205</v>
      </c>
      <c r="N155" s="1" t="s">
        <v>174</v>
      </c>
      <c r="O155" s="1" t="s">
        <v>206</v>
      </c>
      <c r="P155" s="1" t="s">
        <v>207</v>
      </c>
      <c r="Q155" s="1" t="s">
        <v>114</v>
      </c>
      <c r="R155" s="1" t="s">
        <v>29</v>
      </c>
      <c r="S155" s="1" t="s">
        <v>208</v>
      </c>
      <c r="T155" s="1">
        <v>4</v>
      </c>
      <c r="U155" s="1" t="s">
        <v>29</v>
      </c>
    </row>
    <row r="156" spans="1:21" ht="13" x14ac:dyDescent="0.15">
      <c r="A156" s="2">
        <v>45251.967312106484</v>
      </c>
      <c r="B156" s="1" t="s">
        <v>41</v>
      </c>
      <c r="C156" s="1" t="s">
        <v>21</v>
      </c>
      <c r="D156" s="1" t="s">
        <v>51</v>
      </c>
      <c r="F156" s="1" t="s">
        <v>23</v>
      </c>
      <c r="G156" s="1" t="s">
        <v>48</v>
      </c>
      <c r="H156" s="1" t="s">
        <v>84</v>
      </c>
      <c r="I156" s="1" t="s">
        <v>26</v>
      </c>
      <c r="J156" s="1" t="s">
        <v>27</v>
      </c>
      <c r="K156" s="1" t="s">
        <v>209</v>
      </c>
      <c r="L156" s="1" t="s">
        <v>29</v>
      </c>
      <c r="N156" s="1" t="s">
        <v>38</v>
      </c>
      <c r="O156" s="1" t="s">
        <v>46</v>
      </c>
      <c r="P156" s="1" t="s">
        <v>74</v>
      </c>
      <c r="Q156" s="1" t="s">
        <v>33</v>
      </c>
      <c r="R156" s="1" t="s">
        <v>29</v>
      </c>
      <c r="S156" s="1" t="s">
        <v>40</v>
      </c>
      <c r="T156" s="1">
        <v>4</v>
      </c>
      <c r="U156" s="1" t="s">
        <v>29</v>
      </c>
    </row>
    <row r="157" spans="1:21" ht="13" x14ac:dyDescent="0.15">
      <c r="A157" s="2">
        <v>45252.392325671295</v>
      </c>
      <c r="B157" s="1" t="s">
        <v>20</v>
      </c>
      <c r="C157" s="1" t="s">
        <v>21</v>
      </c>
      <c r="D157" s="1" t="s">
        <v>42</v>
      </c>
      <c r="F157" s="1" t="s">
        <v>47</v>
      </c>
      <c r="G157" s="1" t="s">
        <v>58</v>
      </c>
      <c r="H157" s="1" t="s">
        <v>210</v>
      </c>
      <c r="I157" s="1" t="s">
        <v>26</v>
      </c>
      <c r="J157" s="1" t="s">
        <v>27</v>
      </c>
      <c r="K157" s="1" t="s">
        <v>211</v>
      </c>
      <c r="L157" s="1" t="s">
        <v>29</v>
      </c>
      <c r="N157" s="1" t="s">
        <v>30</v>
      </c>
      <c r="O157" s="1" t="s">
        <v>31</v>
      </c>
      <c r="P157" s="1" t="s">
        <v>64</v>
      </c>
      <c r="Q157" s="1" t="s">
        <v>33</v>
      </c>
      <c r="R157" s="1" t="s">
        <v>27</v>
      </c>
      <c r="S157" s="1" t="s">
        <v>212</v>
      </c>
      <c r="T157" s="1">
        <v>4</v>
      </c>
      <c r="U157" s="1" t="s">
        <v>29</v>
      </c>
    </row>
    <row r="158" spans="1:21" ht="13" x14ac:dyDescent="0.15">
      <c r="A158" s="2">
        <v>45252.445663009261</v>
      </c>
      <c r="B158" s="1" t="s">
        <v>41</v>
      </c>
      <c r="C158" s="1" t="s">
        <v>56</v>
      </c>
      <c r="D158" s="1" t="s">
        <v>51</v>
      </c>
      <c r="F158" s="1" t="s">
        <v>47</v>
      </c>
      <c r="G158" s="1" t="s">
        <v>43</v>
      </c>
      <c r="H158" s="1" t="s">
        <v>81</v>
      </c>
      <c r="I158" s="1" t="s">
        <v>63</v>
      </c>
      <c r="J158" s="1" t="s">
        <v>29</v>
      </c>
      <c r="L158" s="1" t="s">
        <v>29</v>
      </c>
      <c r="N158" s="1" t="s">
        <v>66</v>
      </c>
      <c r="O158" s="1" t="s">
        <v>46</v>
      </c>
      <c r="P158" s="1" t="s">
        <v>50</v>
      </c>
      <c r="Q158" s="1" t="s">
        <v>33</v>
      </c>
      <c r="R158" s="1" t="s">
        <v>29</v>
      </c>
      <c r="S158" s="1" t="s">
        <v>40</v>
      </c>
      <c r="T158" s="1">
        <v>2</v>
      </c>
      <c r="U158" s="1" t="s">
        <v>27</v>
      </c>
    </row>
    <row r="159" spans="1:21" ht="13" x14ac:dyDescent="0.15">
      <c r="A159" s="2">
        <v>45252.447723391204</v>
      </c>
      <c r="B159" s="1" t="s">
        <v>20</v>
      </c>
      <c r="C159" s="1" t="s">
        <v>75</v>
      </c>
      <c r="D159" s="1" t="s">
        <v>60</v>
      </c>
      <c r="E159" s="1" t="s">
        <v>61</v>
      </c>
      <c r="F159" s="1" t="s">
        <v>47</v>
      </c>
      <c r="G159" s="1" t="s">
        <v>48</v>
      </c>
      <c r="H159" s="1" t="s">
        <v>73</v>
      </c>
      <c r="I159" s="1" t="s">
        <v>63</v>
      </c>
      <c r="J159" s="1" t="s">
        <v>29</v>
      </c>
      <c r="L159" s="1" t="s">
        <v>29</v>
      </c>
      <c r="N159" s="1" t="s">
        <v>38</v>
      </c>
      <c r="O159" s="1" t="s">
        <v>46</v>
      </c>
      <c r="P159" s="1" t="s">
        <v>74</v>
      </c>
      <c r="Q159" s="1" t="s">
        <v>53</v>
      </c>
      <c r="R159" s="1" t="s">
        <v>27</v>
      </c>
      <c r="S159" s="1" t="s">
        <v>54</v>
      </c>
      <c r="T159" s="1">
        <v>1</v>
      </c>
      <c r="U159" s="1" t="s">
        <v>29</v>
      </c>
    </row>
    <row r="160" spans="1:21" ht="13" x14ac:dyDescent="0.15">
      <c r="A160" s="2">
        <v>45252.600042418984</v>
      </c>
      <c r="B160" s="1" t="s">
        <v>41</v>
      </c>
      <c r="C160" s="1" t="s">
        <v>72</v>
      </c>
      <c r="D160" s="1" t="s">
        <v>60</v>
      </c>
      <c r="E160" s="1" t="s">
        <v>68</v>
      </c>
      <c r="F160" s="1" t="s">
        <v>69</v>
      </c>
      <c r="G160" s="1" t="s">
        <v>35</v>
      </c>
      <c r="H160" s="1" t="s">
        <v>73</v>
      </c>
      <c r="I160" s="1" t="s">
        <v>26</v>
      </c>
      <c r="J160" s="1" t="s">
        <v>29</v>
      </c>
      <c r="L160" s="1" t="s">
        <v>27</v>
      </c>
      <c r="M160" s="1" t="s">
        <v>213</v>
      </c>
      <c r="N160" s="1" t="s">
        <v>38</v>
      </c>
      <c r="O160" s="1" t="s">
        <v>46</v>
      </c>
      <c r="P160" s="1" t="s">
        <v>50</v>
      </c>
      <c r="Q160" s="1" t="s">
        <v>33</v>
      </c>
      <c r="R160" s="1" t="s">
        <v>27</v>
      </c>
      <c r="S160" s="1" t="s">
        <v>54</v>
      </c>
      <c r="T160" s="1">
        <v>5</v>
      </c>
      <c r="U160" s="1" t="s">
        <v>29</v>
      </c>
    </row>
    <row r="161" spans="1:21" ht="13" x14ac:dyDescent="0.15">
      <c r="A161" s="2">
        <v>45252.623505532407</v>
      </c>
      <c r="B161" s="1" t="s">
        <v>41</v>
      </c>
      <c r="C161" s="1" t="s">
        <v>77</v>
      </c>
      <c r="D161" s="1" t="s">
        <v>60</v>
      </c>
      <c r="E161" s="1" t="s">
        <v>68</v>
      </c>
      <c r="F161" s="1" t="s">
        <v>47</v>
      </c>
      <c r="G161" s="1" t="s">
        <v>35</v>
      </c>
      <c r="H161" s="1" t="s">
        <v>84</v>
      </c>
      <c r="I161" s="1" t="s">
        <v>63</v>
      </c>
      <c r="J161" s="1" t="s">
        <v>29</v>
      </c>
      <c r="L161" s="1" t="s">
        <v>29</v>
      </c>
      <c r="N161" s="1" t="s">
        <v>38</v>
      </c>
      <c r="O161" s="1" t="s">
        <v>46</v>
      </c>
      <c r="P161" s="1" t="s">
        <v>50</v>
      </c>
      <c r="Q161" s="1" t="s">
        <v>33</v>
      </c>
      <c r="R161" s="1" t="s">
        <v>27</v>
      </c>
      <c r="S161" s="1" t="s">
        <v>40</v>
      </c>
      <c r="T161" s="1">
        <v>4</v>
      </c>
      <c r="U161" s="1" t="s">
        <v>27</v>
      </c>
    </row>
    <row r="162" spans="1:21" ht="13" x14ac:dyDescent="0.15">
      <c r="A162" s="2">
        <v>45252.64937378472</v>
      </c>
      <c r="B162" s="1" t="s">
        <v>41</v>
      </c>
      <c r="C162" s="1" t="s">
        <v>72</v>
      </c>
      <c r="D162" s="1" t="s">
        <v>60</v>
      </c>
      <c r="E162" s="1" t="s">
        <v>68</v>
      </c>
      <c r="F162" s="1" t="s">
        <v>47</v>
      </c>
      <c r="G162" s="1" t="s">
        <v>35</v>
      </c>
      <c r="H162" s="1" t="s">
        <v>73</v>
      </c>
      <c r="I162" s="1" t="s">
        <v>26</v>
      </c>
      <c r="J162" s="1" t="s">
        <v>29</v>
      </c>
      <c r="L162" s="1" t="s">
        <v>27</v>
      </c>
      <c r="M162" s="1" t="s">
        <v>214</v>
      </c>
      <c r="N162" s="1" t="s">
        <v>38</v>
      </c>
      <c r="O162" s="1" t="s">
        <v>46</v>
      </c>
      <c r="P162" s="1" t="s">
        <v>215</v>
      </c>
      <c r="Q162" s="1" t="s">
        <v>33</v>
      </c>
      <c r="R162" s="1" t="s">
        <v>29</v>
      </c>
      <c r="S162" s="1" t="s">
        <v>54</v>
      </c>
      <c r="T162" s="1">
        <v>2</v>
      </c>
      <c r="U162" s="1" t="s">
        <v>29</v>
      </c>
    </row>
    <row r="163" spans="1:21" ht="13" x14ac:dyDescent="0.15">
      <c r="A163" s="2">
        <v>45252.829636319446</v>
      </c>
      <c r="B163" s="1" t="s">
        <v>20</v>
      </c>
      <c r="C163" s="1" t="s">
        <v>72</v>
      </c>
      <c r="D163" s="1" t="s">
        <v>60</v>
      </c>
      <c r="E163" s="1" t="s">
        <v>68</v>
      </c>
      <c r="F163" s="1" t="s">
        <v>47</v>
      </c>
      <c r="G163" s="1" t="s">
        <v>48</v>
      </c>
      <c r="H163" s="1" t="s">
        <v>73</v>
      </c>
      <c r="I163" s="1" t="s">
        <v>63</v>
      </c>
      <c r="J163" s="1" t="s">
        <v>29</v>
      </c>
      <c r="L163" s="1" t="s">
        <v>29</v>
      </c>
      <c r="N163" s="1" t="s">
        <v>38</v>
      </c>
      <c r="O163" s="1" t="s">
        <v>31</v>
      </c>
      <c r="P163" s="1" t="s">
        <v>50</v>
      </c>
      <c r="Q163" s="1" t="s">
        <v>33</v>
      </c>
      <c r="R163" s="1" t="s">
        <v>27</v>
      </c>
      <c r="S163" s="1" t="s">
        <v>54</v>
      </c>
      <c r="T163" s="1">
        <v>4</v>
      </c>
      <c r="U163" s="1" t="s">
        <v>29</v>
      </c>
    </row>
    <row r="164" spans="1:21" ht="13" x14ac:dyDescent="0.15">
      <c r="A164" s="2">
        <v>45254.714148171297</v>
      </c>
      <c r="B164" s="1" t="s">
        <v>41</v>
      </c>
      <c r="C164" s="1" t="s">
        <v>21</v>
      </c>
      <c r="D164" s="1" t="s">
        <v>60</v>
      </c>
      <c r="E164" s="1" t="s">
        <v>68</v>
      </c>
      <c r="F164" s="1" t="s">
        <v>47</v>
      </c>
      <c r="G164" s="1" t="s">
        <v>35</v>
      </c>
      <c r="H164" s="1" t="s">
        <v>93</v>
      </c>
      <c r="I164" s="1" t="s">
        <v>26</v>
      </c>
      <c r="J164" s="1" t="s">
        <v>29</v>
      </c>
      <c r="L164" s="1" t="s">
        <v>29</v>
      </c>
      <c r="N164" s="1" t="s">
        <v>38</v>
      </c>
      <c r="O164" s="1" t="s">
        <v>31</v>
      </c>
      <c r="P164" s="1" t="s">
        <v>50</v>
      </c>
      <c r="Q164" s="1" t="s">
        <v>114</v>
      </c>
      <c r="R164" s="1" t="s">
        <v>29</v>
      </c>
      <c r="S164" s="1" t="s">
        <v>40</v>
      </c>
      <c r="T164" s="1">
        <v>3</v>
      </c>
      <c r="U164" s="1" t="s">
        <v>27</v>
      </c>
    </row>
    <row r="165" spans="1:21" ht="13" x14ac:dyDescent="0.15">
      <c r="A165" s="2">
        <v>45254.71734614583</v>
      </c>
      <c r="B165" s="1" t="s">
        <v>41</v>
      </c>
      <c r="C165" s="1" t="s">
        <v>21</v>
      </c>
      <c r="D165" s="1" t="s">
        <v>42</v>
      </c>
      <c r="F165" s="1" t="s">
        <v>23</v>
      </c>
      <c r="G165" s="1" t="s">
        <v>35</v>
      </c>
      <c r="H165" s="1" t="s">
        <v>93</v>
      </c>
      <c r="I165" s="1" t="s">
        <v>82</v>
      </c>
      <c r="J165" s="1" t="s">
        <v>27</v>
      </c>
      <c r="K165" s="1" t="s">
        <v>216</v>
      </c>
      <c r="L165" s="1" t="s">
        <v>29</v>
      </c>
      <c r="N165" s="1" t="s">
        <v>38</v>
      </c>
      <c r="O165" s="1" t="s">
        <v>31</v>
      </c>
      <c r="P165" s="1" t="s">
        <v>50</v>
      </c>
      <c r="Q165" s="1" t="s">
        <v>33</v>
      </c>
      <c r="R165" s="1" t="s">
        <v>27</v>
      </c>
      <c r="S165" s="1" t="s">
        <v>54</v>
      </c>
      <c r="T165" s="1">
        <v>2</v>
      </c>
      <c r="U165" s="1" t="s">
        <v>29</v>
      </c>
    </row>
    <row r="166" spans="1:21" ht="13" x14ac:dyDescent="0.15">
      <c r="A166" s="2">
        <v>45255.686530439816</v>
      </c>
      <c r="B166" s="1" t="s">
        <v>41</v>
      </c>
      <c r="C166" s="1" t="s">
        <v>21</v>
      </c>
      <c r="D166" s="1" t="s">
        <v>42</v>
      </c>
      <c r="F166" s="1" t="s">
        <v>23</v>
      </c>
      <c r="G166" s="1" t="s">
        <v>83</v>
      </c>
      <c r="H166" s="1" t="s">
        <v>93</v>
      </c>
      <c r="I166" s="1" t="s">
        <v>26</v>
      </c>
      <c r="J166" s="1" t="s">
        <v>29</v>
      </c>
      <c r="L166" s="1" t="s">
        <v>29</v>
      </c>
      <c r="N166" s="1" t="s">
        <v>38</v>
      </c>
      <c r="O166" s="1" t="s">
        <v>39</v>
      </c>
      <c r="P166" s="1" t="s">
        <v>32</v>
      </c>
      <c r="Q166" s="1" t="s">
        <v>33</v>
      </c>
      <c r="R166" s="1" t="s">
        <v>29</v>
      </c>
      <c r="S166" s="1" t="s">
        <v>54</v>
      </c>
      <c r="T166" s="1">
        <v>4</v>
      </c>
      <c r="U166" s="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927B-1874-B24B-917A-981FB7C9BFDB}">
  <sheetPr>
    <outlinePr summaryBelow="0" summaryRight="0"/>
  </sheetPr>
  <dimension ref="A1:X168"/>
  <sheetViews>
    <sheetView topLeftCell="F1" zoomScaleNormal="100" workbookViewId="0">
      <pane ySplit="1" topLeftCell="A23" activePane="bottomLeft" state="frozen"/>
      <selection pane="bottomLeft" activeCell="L7" sqref="L7"/>
    </sheetView>
  </sheetViews>
  <sheetFormatPr baseColWidth="10" defaultColWidth="12.6640625" defaultRowHeight="15.75" customHeight="1" x14ac:dyDescent="0.15"/>
  <cols>
    <col min="1" max="4" width="18.83203125" customWidth="1"/>
    <col min="5" max="5" width="29" customWidth="1"/>
    <col min="6" max="6" width="103.83203125" customWidth="1"/>
    <col min="7" max="7" width="15" customWidth="1"/>
    <col min="8" max="8" width="14.5" customWidth="1"/>
    <col min="9" max="9" width="24.6640625" customWidth="1"/>
    <col min="10" max="10" width="28.5" bestFit="1" customWidth="1"/>
    <col min="11" max="14" width="18.83203125" customWidth="1"/>
    <col min="15" max="15" width="23.6640625" customWidth="1"/>
    <col min="18" max="18" width="19.5" customWidth="1"/>
  </cols>
  <sheetData>
    <row r="1" spans="1:24" ht="15.75" customHeight="1" x14ac:dyDescent="0.15">
      <c r="A1" s="1" t="s">
        <v>0</v>
      </c>
      <c r="B1" s="1" t="s">
        <v>1</v>
      </c>
      <c r="C1" s="1" t="s">
        <v>2</v>
      </c>
      <c r="D1" s="1" t="s">
        <v>3</v>
      </c>
      <c r="E1" s="1" t="s">
        <v>6</v>
      </c>
      <c r="F1" s="1" t="s">
        <v>7</v>
      </c>
      <c r="G1" s="1"/>
      <c r="H1" s="1"/>
    </row>
    <row r="2" spans="1:24" ht="15.75" customHeight="1" x14ac:dyDescent="0.15">
      <c r="A2" s="2">
        <v>45249.684851284721</v>
      </c>
      <c r="B2" s="1" t="s">
        <v>20</v>
      </c>
      <c r="C2" s="1" t="s">
        <v>21</v>
      </c>
      <c r="D2" s="17" t="s">
        <v>22</v>
      </c>
      <c r="E2" s="1" t="s">
        <v>24</v>
      </c>
      <c r="F2" s="5" t="s">
        <v>25</v>
      </c>
      <c r="G2" s="5"/>
      <c r="H2" s="5"/>
    </row>
    <row r="3" spans="1:24" ht="15.75" customHeight="1" x14ac:dyDescent="0.15">
      <c r="A3" s="2">
        <v>45249.691583240739</v>
      </c>
      <c r="B3" s="1" t="s">
        <v>20</v>
      </c>
      <c r="C3" s="1" t="s">
        <v>21</v>
      </c>
      <c r="D3" s="17" t="s">
        <v>22</v>
      </c>
      <c r="E3" s="1" t="s">
        <v>35</v>
      </c>
      <c r="F3" s="5" t="s">
        <v>36</v>
      </c>
      <c r="G3" s="5"/>
      <c r="H3" s="5"/>
    </row>
    <row r="4" spans="1:24" ht="15.75" customHeight="1" x14ac:dyDescent="0.15">
      <c r="A4" s="2">
        <v>45249.8512237963</v>
      </c>
      <c r="B4" s="1" t="s">
        <v>41</v>
      </c>
      <c r="C4" s="1" t="s">
        <v>21</v>
      </c>
      <c r="D4" s="17" t="s">
        <v>42</v>
      </c>
      <c r="E4" s="9" t="s">
        <v>43</v>
      </c>
      <c r="F4" s="7" t="s">
        <v>44</v>
      </c>
      <c r="G4" s="7"/>
      <c r="H4" s="7"/>
      <c r="I4" s="28" t="s">
        <v>223</v>
      </c>
      <c r="J4" s="28" t="s">
        <v>224</v>
      </c>
      <c r="K4" s="28"/>
      <c r="M4" s="1"/>
      <c r="N4" s="6"/>
      <c r="O4" s="28" t="s">
        <v>232</v>
      </c>
      <c r="P4" s="6"/>
    </row>
    <row r="5" spans="1:24" ht="15.75" customHeight="1" x14ac:dyDescent="0.15">
      <c r="A5" s="2"/>
      <c r="B5" s="1"/>
      <c r="C5" s="1"/>
      <c r="D5" s="17"/>
      <c r="E5" s="9"/>
      <c r="F5" s="7"/>
      <c r="G5" s="7"/>
      <c r="H5" s="24" t="s">
        <v>225</v>
      </c>
      <c r="I5" s="34">
        <f>27/31</f>
        <v>0.87096774193548387</v>
      </c>
      <c r="J5" s="34">
        <f>4/31</f>
        <v>0.12903225806451613</v>
      </c>
      <c r="K5" s="34"/>
      <c r="N5" s="6"/>
      <c r="O5" s="34">
        <f>12/43</f>
        <v>0.27906976744186046</v>
      </c>
      <c r="P5" s="6"/>
    </row>
    <row r="6" spans="1:24" ht="15.75" customHeight="1" x14ac:dyDescent="0.15">
      <c r="A6" s="2">
        <v>45249.879953842596</v>
      </c>
      <c r="B6" s="1" t="s">
        <v>41</v>
      </c>
      <c r="C6" s="1" t="s">
        <v>21</v>
      </c>
      <c r="D6" s="17" t="s">
        <v>42</v>
      </c>
      <c r="E6" s="1" t="s">
        <v>48</v>
      </c>
      <c r="F6" s="5" t="s">
        <v>49</v>
      </c>
      <c r="G6" s="5"/>
      <c r="H6" s="25" t="s">
        <v>222</v>
      </c>
      <c r="I6" s="35">
        <f>63/69</f>
        <v>0.91304347826086951</v>
      </c>
      <c r="J6" s="35">
        <f>6/69</f>
        <v>8.6956521739130432E-2</v>
      </c>
      <c r="K6" s="36"/>
      <c r="M6" s="3"/>
      <c r="O6" s="36">
        <f>23/92</f>
        <v>0.25</v>
      </c>
    </row>
    <row r="7" spans="1:24" ht="15.75" customHeight="1" x14ac:dyDescent="0.15">
      <c r="A7" s="2">
        <v>45249.881849537036</v>
      </c>
      <c r="B7" s="1" t="s">
        <v>41</v>
      </c>
      <c r="C7" s="1" t="s">
        <v>21</v>
      </c>
      <c r="D7" s="5" t="s">
        <v>51</v>
      </c>
      <c r="E7" s="1" t="s">
        <v>48</v>
      </c>
      <c r="F7" s="5" t="s">
        <v>49</v>
      </c>
      <c r="G7" s="5"/>
      <c r="H7" s="25" t="s">
        <v>241</v>
      </c>
      <c r="I7" s="35">
        <f>22/25</f>
        <v>0.88</v>
      </c>
      <c r="J7" s="36">
        <f>3/25</f>
        <v>0.12</v>
      </c>
      <c r="K7" s="35"/>
      <c r="M7" s="3"/>
      <c r="O7" s="35">
        <f>5/30</f>
        <v>0.16666666666666666</v>
      </c>
    </row>
    <row r="8" spans="1:24" ht="15.75" customHeight="1" x14ac:dyDescent="0.15">
      <c r="A8" s="2"/>
      <c r="B8" s="1"/>
      <c r="C8" s="1"/>
      <c r="D8" s="5"/>
      <c r="E8" s="1"/>
      <c r="F8" s="5"/>
      <c r="G8" s="5"/>
      <c r="H8" s="26" t="s">
        <v>226</v>
      </c>
      <c r="I8" s="19">
        <v>112</v>
      </c>
      <c r="J8" s="27">
        <v>13</v>
      </c>
      <c r="K8" s="19"/>
      <c r="M8" s="3"/>
      <c r="O8" s="19">
        <v>40</v>
      </c>
    </row>
    <row r="9" spans="1:24" ht="15.75" customHeight="1" x14ac:dyDescent="0.15">
      <c r="A9" s="2">
        <v>45249.883503969904</v>
      </c>
      <c r="B9" s="1" t="s">
        <v>55</v>
      </c>
      <c r="C9" s="1" t="s">
        <v>56</v>
      </c>
      <c r="D9" s="18" t="s">
        <v>55</v>
      </c>
      <c r="E9" s="1" t="s">
        <v>58</v>
      </c>
      <c r="F9" s="7" t="s">
        <v>59</v>
      </c>
      <c r="G9" s="7"/>
      <c r="H9" s="20"/>
      <c r="I9" s="20"/>
      <c r="J9" s="20"/>
      <c r="K9" s="20"/>
      <c r="M9" s="3"/>
      <c r="S9" s="6"/>
      <c r="U9" s="6"/>
      <c r="W9" s="6"/>
    </row>
    <row r="10" spans="1:24" ht="15.75" customHeight="1" x14ac:dyDescent="0.15">
      <c r="A10" s="2">
        <v>45249.885399872685</v>
      </c>
      <c r="B10" s="1" t="s">
        <v>20</v>
      </c>
      <c r="C10" s="1" t="s">
        <v>21</v>
      </c>
      <c r="D10" s="1" t="s">
        <v>60</v>
      </c>
      <c r="E10" s="1" t="s">
        <v>58</v>
      </c>
      <c r="F10" s="5" t="s">
        <v>62</v>
      </c>
      <c r="G10" s="5"/>
      <c r="H10" s="5"/>
      <c r="I10" s="3"/>
      <c r="M10" s="43" t="s">
        <v>235</v>
      </c>
      <c r="N10" s="44"/>
      <c r="O10" s="44"/>
      <c r="R10" s="6"/>
      <c r="S10" s="6"/>
      <c r="T10" s="6"/>
      <c r="U10" s="6"/>
      <c r="V10" s="6"/>
      <c r="W10" s="6"/>
      <c r="X10" s="6"/>
    </row>
    <row r="11" spans="1:24" ht="15.75" customHeight="1" x14ac:dyDescent="0.15">
      <c r="A11" s="2">
        <v>45249.897932569445</v>
      </c>
      <c r="B11" s="1" t="s">
        <v>20</v>
      </c>
      <c r="C11" s="1" t="s">
        <v>21</v>
      </c>
      <c r="D11" s="5" t="s">
        <v>51</v>
      </c>
      <c r="E11" s="9" t="s">
        <v>43</v>
      </c>
      <c r="F11" s="7" t="s">
        <v>65</v>
      </c>
      <c r="G11" s="7"/>
      <c r="H11" s="7"/>
      <c r="M11" s="44"/>
      <c r="N11" s="44"/>
      <c r="O11" s="44"/>
      <c r="R11" s="6"/>
    </row>
    <row r="12" spans="1:24" ht="15.75" customHeight="1" x14ac:dyDescent="0.15">
      <c r="A12" s="2">
        <v>45250.468901736109</v>
      </c>
      <c r="B12" s="1" t="s">
        <v>41</v>
      </c>
      <c r="C12" s="1" t="s">
        <v>21</v>
      </c>
      <c r="D12" s="1" t="s">
        <v>60</v>
      </c>
      <c r="E12" s="1" t="s">
        <v>35</v>
      </c>
      <c r="F12" s="7" t="s">
        <v>70</v>
      </c>
      <c r="G12" s="7"/>
      <c r="H12" s="7"/>
      <c r="M12" s="44"/>
      <c r="N12" s="44"/>
      <c r="O12" s="44"/>
      <c r="R12" s="6"/>
    </row>
    <row r="13" spans="1:24" ht="15.75" customHeight="1" x14ac:dyDescent="0.15">
      <c r="A13" s="2">
        <v>45251.397831516202</v>
      </c>
      <c r="B13" s="1" t="s">
        <v>41</v>
      </c>
      <c r="C13" s="1" t="s">
        <v>72</v>
      </c>
      <c r="D13" s="1" t="s">
        <v>60</v>
      </c>
      <c r="E13" s="1" t="s">
        <v>58</v>
      </c>
      <c r="F13" s="5" t="s">
        <v>73</v>
      </c>
      <c r="G13" s="5"/>
      <c r="H13" s="5"/>
      <c r="M13" s="44"/>
      <c r="N13" s="44"/>
      <c r="O13" s="44"/>
      <c r="R13" s="6"/>
    </row>
    <row r="14" spans="1:24" ht="15.75" customHeight="1" x14ac:dyDescent="0.15">
      <c r="A14" s="2">
        <v>45251.399566782406</v>
      </c>
      <c r="B14" s="1" t="s">
        <v>41</v>
      </c>
      <c r="C14" s="1" t="s">
        <v>75</v>
      </c>
      <c r="D14" s="1" t="s">
        <v>60</v>
      </c>
      <c r="E14" s="1" t="s">
        <v>35</v>
      </c>
      <c r="F14" s="7" t="s">
        <v>44</v>
      </c>
      <c r="G14" s="7"/>
      <c r="H14" s="7"/>
      <c r="M14" s="44"/>
      <c r="N14" s="44"/>
      <c r="O14" s="44"/>
    </row>
    <row r="15" spans="1:24" ht="15.75" customHeight="1" x14ac:dyDescent="0.15">
      <c r="A15" s="2">
        <v>45251.401892511574</v>
      </c>
      <c r="B15" s="1" t="s">
        <v>41</v>
      </c>
      <c r="C15" s="1" t="s">
        <v>77</v>
      </c>
      <c r="D15" s="1" t="s">
        <v>60</v>
      </c>
      <c r="E15" s="1" t="s">
        <v>35</v>
      </c>
      <c r="F15" s="7" t="s">
        <v>78</v>
      </c>
      <c r="G15" s="7"/>
      <c r="H15" s="7"/>
      <c r="M15" s="44"/>
      <c r="N15" s="44"/>
      <c r="O15" s="44"/>
    </row>
    <row r="16" spans="1:24" ht="15.75" customHeight="1" x14ac:dyDescent="0.15">
      <c r="A16" s="2">
        <v>45251.404358298612</v>
      </c>
      <c r="B16" s="1" t="s">
        <v>20</v>
      </c>
      <c r="C16" s="1" t="s">
        <v>72</v>
      </c>
      <c r="D16" s="1" t="s">
        <v>60</v>
      </c>
      <c r="E16" s="9" t="s">
        <v>43</v>
      </c>
      <c r="F16" s="5" t="s">
        <v>79</v>
      </c>
      <c r="G16" s="5"/>
      <c r="H16" s="5"/>
      <c r="M16" s="44"/>
      <c r="N16" s="44"/>
      <c r="O16" s="44"/>
    </row>
    <row r="17" spans="1:15" ht="15.75" customHeight="1" x14ac:dyDescent="0.15">
      <c r="A17" s="2">
        <v>45251.505007673608</v>
      </c>
      <c r="B17" s="1" t="s">
        <v>20</v>
      </c>
      <c r="C17" s="1" t="s">
        <v>21</v>
      </c>
      <c r="D17" s="17" t="s">
        <v>42</v>
      </c>
      <c r="E17" s="9" t="s">
        <v>43</v>
      </c>
      <c r="F17" s="5" t="s">
        <v>81</v>
      </c>
      <c r="G17" s="5"/>
      <c r="H17" s="5"/>
      <c r="M17" s="44"/>
      <c r="N17" s="44"/>
      <c r="O17" s="44"/>
    </row>
    <row r="18" spans="1:15" ht="15.75" customHeight="1" x14ac:dyDescent="0.15">
      <c r="A18" s="2">
        <v>45251.506297604166</v>
      </c>
      <c r="B18" s="1" t="s">
        <v>20</v>
      </c>
      <c r="C18" s="1" t="s">
        <v>21</v>
      </c>
      <c r="D18" s="1" t="s">
        <v>60</v>
      </c>
      <c r="E18" s="9" t="s">
        <v>83</v>
      </c>
      <c r="F18" s="5" t="s">
        <v>84</v>
      </c>
      <c r="G18" s="5"/>
      <c r="H18" s="5"/>
      <c r="M18" s="44"/>
      <c r="N18" s="44"/>
      <c r="O18" s="44"/>
    </row>
    <row r="19" spans="1:15" ht="15.75" customHeight="1" x14ac:dyDescent="0.15">
      <c r="A19" s="2">
        <v>45251.507252604162</v>
      </c>
      <c r="B19" s="1" t="s">
        <v>41</v>
      </c>
      <c r="C19" s="1" t="s">
        <v>21</v>
      </c>
      <c r="D19" s="17" t="s">
        <v>42</v>
      </c>
      <c r="E19" s="1" t="s">
        <v>35</v>
      </c>
      <c r="F19" s="5" t="s">
        <v>84</v>
      </c>
      <c r="G19" s="5"/>
      <c r="H19" s="5"/>
      <c r="M19" s="44"/>
      <c r="N19" s="44"/>
      <c r="O19" s="44"/>
    </row>
    <row r="20" spans="1:15" ht="15.75" customHeight="1" x14ac:dyDescent="0.15">
      <c r="A20" s="2">
        <v>45251.509139189817</v>
      </c>
      <c r="B20" s="1" t="s">
        <v>41</v>
      </c>
      <c r="C20" s="1" t="s">
        <v>21</v>
      </c>
      <c r="D20" s="17" t="s">
        <v>42</v>
      </c>
      <c r="E20" s="9" t="s">
        <v>43</v>
      </c>
      <c r="F20" s="5" t="s">
        <v>79</v>
      </c>
      <c r="G20" s="5"/>
      <c r="H20" s="5"/>
      <c r="M20" s="44"/>
      <c r="N20" s="44"/>
      <c r="O20" s="44"/>
    </row>
    <row r="21" spans="1:15" ht="15.75" customHeight="1" x14ac:dyDescent="0.15">
      <c r="A21" s="2">
        <v>45251.510488784726</v>
      </c>
      <c r="B21" s="1" t="s">
        <v>20</v>
      </c>
      <c r="C21" s="1" t="s">
        <v>21</v>
      </c>
      <c r="D21" s="17" t="s">
        <v>42</v>
      </c>
      <c r="E21" s="1" t="s">
        <v>58</v>
      </c>
      <c r="F21" s="5" t="s">
        <v>79</v>
      </c>
      <c r="G21" s="5"/>
      <c r="H21" s="5"/>
      <c r="M21" s="44"/>
      <c r="N21" s="44"/>
      <c r="O21" s="44"/>
    </row>
    <row r="22" spans="1:15" ht="15.75" customHeight="1" x14ac:dyDescent="0.15">
      <c r="A22" s="2">
        <v>45251.512181435188</v>
      </c>
      <c r="B22" s="1" t="s">
        <v>41</v>
      </c>
      <c r="C22" s="1" t="s">
        <v>21</v>
      </c>
      <c r="D22" s="17" t="s">
        <v>42</v>
      </c>
      <c r="E22" s="1" t="s">
        <v>35</v>
      </c>
      <c r="F22" s="7" t="s">
        <v>89</v>
      </c>
      <c r="G22" s="7"/>
      <c r="H22" s="7"/>
      <c r="M22" s="44"/>
      <c r="N22" s="44"/>
      <c r="O22" s="44"/>
    </row>
    <row r="23" spans="1:15" ht="15.75" customHeight="1" x14ac:dyDescent="0.15">
      <c r="A23" s="2">
        <v>45251.515609791662</v>
      </c>
      <c r="B23" s="1" t="s">
        <v>41</v>
      </c>
      <c r="C23" s="1" t="s">
        <v>21</v>
      </c>
      <c r="D23" s="17" t="s">
        <v>42</v>
      </c>
      <c r="E23" s="1" t="s">
        <v>48</v>
      </c>
      <c r="F23" s="5" t="s">
        <v>93</v>
      </c>
      <c r="G23" s="5"/>
      <c r="H23" s="5"/>
      <c r="M23" s="44"/>
      <c r="N23" s="44"/>
      <c r="O23" s="44"/>
    </row>
    <row r="24" spans="1:15" ht="15.75" customHeight="1" x14ac:dyDescent="0.15">
      <c r="A24" s="2">
        <v>45251.515700150463</v>
      </c>
      <c r="B24" s="1" t="s">
        <v>41</v>
      </c>
      <c r="C24" s="1" t="s">
        <v>21</v>
      </c>
      <c r="D24" s="17" t="s">
        <v>42</v>
      </c>
      <c r="E24" s="1" t="s">
        <v>48</v>
      </c>
      <c r="F24" s="5" t="s">
        <v>93</v>
      </c>
      <c r="G24" s="5"/>
      <c r="H24" s="5"/>
    </row>
    <row r="25" spans="1:15" ht="15.75" customHeight="1" x14ac:dyDescent="0.15">
      <c r="A25" s="2">
        <v>45251.518362789357</v>
      </c>
      <c r="B25" s="1" t="s">
        <v>20</v>
      </c>
      <c r="C25" s="1" t="s">
        <v>21</v>
      </c>
      <c r="D25" s="17" t="s">
        <v>42</v>
      </c>
      <c r="E25" s="9" t="s">
        <v>83</v>
      </c>
      <c r="F25" s="7" t="s">
        <v>217</v>
      </c>
      <c r="G25" s="7"/>
      <c r="H25" s="7"/>
    </row>
    <row r="26" spans="1:15" ht="15.75" customHeight="1" x14ac:dyDescent="0.15">
      <c r="A26" s="2">
        <v>45251.518999953703</v>
      </c>
      <c r="B26" s="1" t="s">
        <v>41</v>
      </c>
      <c r="C26" s="1" t="s">
        <v>21</v>
      </c>
      <c r="D26" s="17" t="s">
        <v>42</v>
      </c>
      <c r="E26" s="9" t="s">
        <v>83</v>
      </c>
      <c r="F26" s="3" t="s">
        <v>218</v>
      </c>
      <c r="G26" s="3"/>
      <c r="H26" s="3"/>
    </row>
    <row r="27" spans="1:15" ht="15.75" customHeight="1" x14ac:dyDescent="0.15">
      <c r="A27" s="2">
        <v>45251.519056990743</v>
      </c>
      <c r="B27" s="1" t="s">
        <v>20</v>
      </c>
      <c r="C27" s="1" t="s">
        <v>21</v>
      </c>
      <c r="D27" s="17" t="s">
        <v>42</v>
      </c>
      <c r="E27" s="1" t="s">
        <v>48</v>
      </c>
      <c r="F27" s="5" t="s">
        <v>49</v>
      </c>
      <c r="G27" s="5"/>
      <c r="H27" s="5"/>
    </row>
    <row r="28" spans="1:15" ht="15.75" customHeight="1" x14ac:dyDescent="0.15">
      <c r="A28" s="2">
        <v>45251.520263055558</v>
      </c>
      <c r="B28" s="1" t="s">
        <v>41</v>
      </c>
      <c r="C28" s="1" t="s">
        <v>21</v>
      </c>
      <c r="D28" s="5" t="s">
        <v>51</v>
      </c>
      <c r="E28" s="1" t="s">
        <v>35</v>
      </c>
      <c r="F28" s="7" t="s">
        <v>65</v>
      </c>
      <c r="G28" s="7"/>
      <c r="H28" s="7"/>
    </row>
    <row r="29" spans="1:15" ht="15.75" customHeight="1" x14ac:dyDescent="0.15">
      <c r="A29" s="2">
        <v>45251.522630335647</v>
      </c>
      <c r="B29" s="1" t="s">
        <v>41</v>
      </c>
      <c r="C29" s="1" t="s">
        <v>21</v>
      </c>
      <c r="D29" s="17" t="s">
        <v>42</v>
      </c>
      <c r="E29" s="1" t="s">
        <v>35</v>
      </c>
      <c r="F29" s="5" t="s">
        <v>81</v>
      </c>
      <c r="G29" s="5"/>
      <c r="H29" s="5"/>
      <c r="I29" s="22" t="s">
        <v>228</v>
      </c>
      <c r="J29" s="23" t="s">
        <v>227</v>
      </c>
      <c r="K29" s="6"/>
      <c r="L29" s="21"/>
      <c r="M29" s="21"/>
      <c r="N29" s="21"/>
      <c r="O29" s="21"/>
    </row>
    <row r="30" spans="1:15" ht="15.75" customHeight="1" x14ac:dyDescent="0.15">
      <c r="A30" s="2">
        <v>45251.523428912042</v>
      </c>
      <c r="B30" s="1" t="s">
        <v>20</v>
      </c>
      <c r="C30" s="1" t="s">
        <v>21</v>
      </c>
      <c r="D30" s="18" t="s">
        <v>55</v>
      </c>
      <c r="E30" s="1" t="s">
        <v>35</v>
      </c>
      <c r="F30" s="5" t="s">
        <v>81</v>
      </c>
      <c r="G30" s="5"/>
      <c r="H30" s="24" t="s">
        <v>225</v>
      </c>
      <c r="I30" s="37">
        <f>16/44</f>
        <v>0.36363636363636365</v>
      </c>
      <c r="J30" s="37">
        <f>28/44</f>
        <v>0.63636363636363635</v>
      </c>
      <c r="L30" s="21"/>
      <c r="M30" s="21"/>
      <c r="N30" s="21"/>
      <c r="O30" s="21"/>
    </row>
    <row r="31" spans="1:15" ht="15.75" customHeight="1" x14ac:dyDescent="0.15">
      <c r="A31" s="2">
        <v>45251.523980266204</v>
      </c>
      <c r="B31" s="1" t="s">
        <v>41</v>
      </c>
      <c r="C31" s="1" t="s">
        <v>21</v>
      </c>
      <c r="D31" s="17" t="s">
        <v>42</v>
      </c>
      <c r="E31" s="1" t="s">
        <v>35</v>
      </c>
      <c r="F31" s="5" t="s">
        <v>81</v>
      </c>
      <c r="G31" s="5"/>
      <c r="H31" s="25" t="s">
        <v>222</v>
      </c>
      <c r="I31" s="37">
        <f>35/91</f>
        <v>0.38461538461538464</v>
      </c>
      <c r="J31" s="37">
        <f>56/91</f>
        <v>0.61538461538461542</v>
      </c>
      <c r="L31" s="21"/>
      <c r="M31" s="21"/>
      <c r="N31" s="21"/>
      <c r="O31" s="21"/>
    </row>
    <row r="32" spans="1:15" ht="15.75" customHeight="1" x14ac:dyDescent="0.15">
      <c r="A32" s="2">
        <v>45251.52402783565</v>
      </c>
      <c r="B32" s="1" t="s">
        <v>41</v>
      </c>
      <c r="C32" s="1" t="s">
        <v>21</v>
      </c>
      <c r="D32" s="1" t="s">
        <v>60</v>
      </c>
      <c r="E32" s="1" t="s">
        <v>48</v>
      </c>
      <c r="F32" s="7" t="s">
        <v>70</v>
      </c>
      <c r="G32" s="7"/>
      <c r="H32" s="25" t="s">
        <v>241</v>
      </c>
      <c r="I32" s="37">
        <f>10/30</f>
        <v>0.33333333333333331</v>
      </c>
      <c r="J32" s="37">
        <f>20/30</f>
        <v>0.66666666666666663</v>
      </c>
    </row>
    <row r="33" spans="1:15" ht="15.75" customHeight="1" x14ac:dyDescent="0.15">
      <c r="A33" s="2">
        <v>45251.528185972224</v>
      </c>
      <c r="B33" s="1" t="s">
        <v>41</v>
      </c>
      <c r="C33" s="1" t="s">
        <v>21</v>
      </c>
      <c r="D33" s="17" t="s">
        <v>42</v>
      </c>
      <c r="E33" s="9" t="s">
        <v>43</v>
      </c>
      <c r="F33" s="5" t="s">
        <v>81</v>
      </c>
      <c r="G33" s="5"/>
      <c r="H33" s="24" t="s">
        <v>226</v>
      </c>
      <c r="I33" s="4">
        <v>61</v>
      </c>
      <c r="J33" s="4">
        <v>104</v>
      </c>
    </row>
    <row r="34" spans="1:15" ht="15.75" customHeight="1" x14ac:dyDescent="0.15">
      <c r="A34" s="2">
        <v>45251.52832420139</v>
      </c>
      <c r="B34" s="1" t="s">
        <v>41</v>
      </c>
      <c r="C34" s="1" t="s">
        <v>21</v>
      </c>
      <c r="D34" s="17" t="s">
        <v>42</v>
      </c>
      <c r="E34" s="1" t="s">
        <v>35</v>
      </c>
      <c r="F34" s="7" t="s">
        <v>103</v>
      </c>
      <c r="G34" s="7"/>
      <c r="H34" s="7"/>
    </row>
    <row r="35" spans="1:15" ht="15.75" customHeight="1" x14ac:dyDescent="0.15">
      <c r="A35" s="2">
        <v>45251.528365509264</v>
      </c>
      <c r="B35" s="1" t="s">
        <v>41</v>
      </c>
      <c r="C35" s="1" t="s">
        <v>21</v>
      </c>
      <c r="D35" s="17" t="s">
        <v>42</v>
      </c>
      <c r="E35" s="9" t="s">
        <v>43</v>
      </c>
      <c r="F35" s="5" t="s">
        <v>84</v>
      </c>
      <c r="G35" s="5"/>
      <c r="H35" s="5"/>
    </row>
    <row r="36" spans="1:15" ht="15.75" customHeight="1" x14ac:dyDescent="0.15">
      <c r="A36" s="2">
        <v>45251.529203032405</v>
      </c>
      <c r="B36" s="1" t="s">
        <v>41</v>
      </c>
      <c r="C36" s="1" t="s">
        <v>21</v>
      </c>
      <c r="D36" s="17" t="s">
        <v>42</v>
      </c>
      <c r="E36" s="1" t="s">
        <v>35</v>
      </c>
      <c r="F36" s="5" t="s">
        <v>84</v>
      </c>
      <c r="G36" s="5"/>
      <c r="H36" s="5"/>
    </row>
    <row r="37" spans="1:15" ht="15.75" customHeight="1" x14ac:dyDescent="0.15">
      <c r="A37" s="2">
        <v>45251.529491354166</v>
      </c>
      <c r="B37" s="1" t="s">
        <v>41</v>
      </c>
      <c r="C37" s="1" t="s">
        <v>21</v>
      </c>
      <c r="D37" s="5" t="s">
        <v>51</v>
      </c>
      <c r="E37" s="9" t="s">
        <v>83</v>
      </c>
      <c r="F37" s="7" t="s">
        <v>44</v>
      </c>
      <c r="G37" s="7"/>
      <c r="H37" s="7"/>
    </row>
    <row r="38" spans="1:15" ht="15.75" customHeight="1" x14ac:dyDescent="0.15">
      <c r="A38" s="2">
        <v>45251.530792002319</v>
      </c>
      <c r="B38" s="1" t="s">
        <v>20</v>
      </c>
      <c r="C38" s="1" t="s">
        <v>21</v>
      </c>
      <c r="D38" s="17" t="s">
        <v>42</v>
      </c>
      <c r="E38" s="9" t="s">
        <v>83</v>
      </c>
      <c r="F38" s="5" t="s">
        <v>81</v>
      </c>
      <c r="G38" s="5"/>
      <c r="H38" s="5"/>
      <c r="M38" s="41" t="s">
        <v>236</v>
      </c>
      <c r="N38" s="42"/>
      <c r="O38" s="42"/>
    </row>
    <row r="39" spans="1:15" ht="15.75" customHeight="1" x14ac:dyDescent="0.15">
      <c r="A39" s="2">
        <v>45251.533557129631</v>
      </c>
      <c r="B39" s="1" t="s">
        <v>41</v>
      </c>
      <c r="C39" s="1" t="s">
        <v>21</v>
      </c>
      <c r="D39" s="17" t="s">
        <v>42</v>
      </c>
      <c r="E39" s="1" t="s">
        <v>48</v>
      </c>
      <c r="F39" s="5" t="s">
        <v>109</v>
      </c>
      <c r="G39" s="5"/>
      <c r="H39" s="5"/>
      <c r="M39" s="42"/>
      <c r="N39" s="42"/>
      <c r="O39" s="42"/>
    </row>
    <row r="40" spans="1:15" ht="15.75" customHeight="1" x14ac:dyDescent="0.15">
      <c r="A40" s="2">
        <v>45251.534042685184</v>
      </c>
      <c r="B40" s="1" t="s">
        <v>41</v>
      </c>
      <c r="C40" s="1" t="s">
        <v>21</v>
      </c>
      <c r="D40" s="17" t="s">
        <v>42</v>
      </c>
      <c r="E40" s="1" t="s">
        <v>35</v>
      </c>
      <c r="F40" s="5" t="s">
        <v>79</v>
      </c>
      <c r="G40" s="5"/>
      <c r="H40" s="5"/>
      <c r="M40" s="42"/>
      <c r="N40" s="42"/>
      <c r="O40" s="42"/>
    </row>
    <row r="41" spans="1:15" ht="15.75" customHeight="1" x14ac:dyDescent="0.15">
      <c r="A41" s="2">
        <v>45251.535046550925</v>
      </c>
      <c r="B41" s="1" t="s">
        <v>41</v>
      </c>
      <c r="C41" s="1" t="s">
        <v>75</v>
      </c>
      <c r="D41" s="18" t="s">
        <v>55</v>
      </c>
      <c r="E41" s="9" t="s">
        <v>43</v>
      </c>
      <c r="F41" s="5" t="s">
        <v>81</v>
      </c>
      <c r="G41" s="5"/>
      <c r="H41" s="5"/>
      <c r="M41" s="42"/>
      <c r="N41" s="42"/>
      <c r="O41" s="42"/>
    </row>
    <row r="42" spans="1:15" ht="15.75" customHeight="1" x14ac:dyDescent="0.15">
      <c r="A42" s="2">
        <v>45251.537329537037</v>
      </c>
      <c r="B42" s="1" t="s">
        <v>20</v>
      </c>
      <c r="C42" s="1" t="s">
        <v>21</v>
      </c>
      <c r="D42" s="17" t="s">
        <v>42</v>
      </c>
      <c r="E42" s="9" t="s">
        <v>43</v>
      </c>
      <c r="F42" s="5" t="s">
        <v>73</v>
      </c>
      <c r="G42" s="5"/>
      <c r="H42" s="5"/>
      <c r="M42" s="42"/>
      <c r="N42" s="42"/>
      <c r="O42" s="42"/>
    </row>
    <row r="43" spans="1:15" ht="15.75" customHeight="1" x14ac:dyDescent="0.15">
      <c r="A43" s="2">
        <v>45251.537389131947</v>
      </c>
      <c r="B43" s="1" t="s">
        <v>41</v>
      </c>
      <c r="C43" s="1" t="s">
        <v>77</v>
      </c>
      <c r="D43" s="1" t="s">
        <v>60</v>
      </c>
      <c r="E43" s="1" t="s">
        <v>58</v>
      </c>
      <c r="F43" s="5" t="s">
        <v>25</v>
      </c>
      <c r="G43" s="5"/>
      <c r="H43" s="5"/>
      <c r="M43" s="42"/>
      <c r="N43" s="42"/>
      <c r="O43" s="42"/>
    </row>
    <row r="44" spans="1:15" ht="15.75" customHeight="1" x14ac:dyDescent="0.15">
      <c r="A44" s="2">
        <v>45251.543352662033</v>
      </c>
      <c r="B44" s="1" t="s">
        <v>20</v>
      </c>
      <c r="C44" s="1" t="s">
        <v>21</v>
      </c>
      <c r="D44" s="17" t="s">
        <v>42</v>
      </c>
      <c r="E44" s="1" t="s">
        <v>35</v>
      </c>
      <c r="F44" s="7" t="s">
        <v>115</v>
      </c>
      <c r="G44" s="7"/>
      <c r="H44" s="7"/>
      <c r="M44" s="42"/>
      <c r="N44" s="42"/>
      <c r="O44" s="42"/>
    </row>
    <row r="45" spans="1:15" ht="15.75" customHeight="1" x14ac:dyDescent="0.15">
      <c r="A45" s="2">
        <v>45251.548824305559</v>
      </c>
      <c r="B45" s="1" t="s">
        <v>41</v>
      </c>
      <c r="C45" s="1" t="s">
        <v>21</v>
      </c>
      <c r="D45" s="1" t="s">
        <v>60</v>
      </c>
      <c r="E45" s="1" t="s">
        <v>48</v>
      </c>
      <c r="F45" s="5" t="s">
        <v>81</v>
      </c>
      <c r="G45" s="5"/>
      <c r="H45" s="5"/>
      <c r="M45" s="42"/>
      <c r="N45" s="42"/>
      <c r="O45" s="42"/>
    </row>
    <row r="46" spans="1:15" ht="15.75" customHeight="1" x14ac:dyDescent="0.15">
      <c r="A46" s="2">
        <v>45251.550079502311</v>
      </c>
      <c r="B46" s="1" t="s">
        <v>20</v>
      </c>
      <c r="C46" s="1" t="s">
        <v>21</v>
      </c>
      <c r="D46" s="17" t="s">
        <v>42</v>
      </c>
      <c r="E46" s="9" t="s">
        <v>83</v>
      </c>
      <c r="F46" s="5" t="s">
        <v>81</v>
      </c>
      <c r="G46" s="5"/>
      <c r="H46" s="5"/>
      <c r="M46" s="42"/>
      <c r="N46" s="42"/>
      <c r="O46" s="42"/>
    </row>
    <row r="47" spans="1:15" ht="15.75" customHeight="1" x14ac:dyDescent="0.15">
      <c r="A47" s="2">
        <v>45251.551733263885</v>
      </c>
      <c r="B47" s="1" t="s">
        <v>41</v>
      </c>
      <c r="C47" s="1" t="s">
        <v>21</v>
      </c>
      <c r="D47" s="17" t="s">
        <v>42</v>
      </c>
      <c r="E47" s="1" t="s">
        <v>48</v>
      </c>
      <c r="F47" s="5" t="s">
        <v>79</v>
      </c>
      <c r="G47" s="5"/>
      <c r="H47" s="5"/>
      <c r="M47" s="42"/>
      <c r="N47" s="42"/>
      <c r="O47" s="42"/>
    </row>
    <row r="48" spans="1:15" ht="15.75" customHeight="1" x14ac:dyDescent="0.15">
      <c r="A48" s="2">
        <v>45251.552271354165</v>
      </c>
      <c r="B48" s="1" t="s">
        <v>41</v>
      </c>
      <c r="C48" s="1" t="s">
        <v>21</v>
      </c>
      <c r="D48" s="5" t="s">
        <v>51</v>
      </c>
      <c r="E48" s="9" t="s">
        <v>43</v>
      </c>
      <c r="F48" s="5" t="s">
        <v>84</v>
      </c>
      <c r="G48" s="5"/>
      <c r="H48" s="5"/>
      <c r="M48" s="42"/>
      <c r="N48" s="42"/>
      <c r="O48" s="42"/>
    </row>
    <row r="49" spans="1:15" ht="15.75" customHeight="1" x14ac:dyDescent="0.15">
      <c r="A49" s="2">
        <v>45251.553336099532</v>
      </c>
      <c r="B49" s="1" t="s">
        <v>20</v>
      </c>
      <c r="C49" s="1" t="s">
        <v>21</v>
      </c>
      <c r="D49" s="18" t="s">
        <v>55</v>
      </c>
      <c r="E49" s="9" t="s">
        <v>43</v>
      </c>
      <c r="F49" s="5" t="s">
        <v>36</v>
      </c>
      <c r="G49" s="5"/>
      <c r="H49" s="5"/>
      <c r="M49" s="42"/>
      <c r="N49" s="42"/>
      <c r="O49" s="42"/>
    </row>
    <row r="50" spans="1:15" ht="15.75" customHeight="1" x14ac:dyDescent="0.15">
      <c r="A50" s="2">
        <v>45251.555836203705</v>
      </c>
      <c r="B50" s="1" t="s">
        <v>41</v>
      </c>
      <c r="C50" s="1" t="s">
        <v>75</v>
      </c>
      <c r="D50" s="1" t="s">
        <v>60</v>
      </c>
      <c r="E50" s="9" t="s">
        <v>43</v>
      </c>
      <c r="F50" s="5" t="s">
        <v>93</v>
      </c>
      <c r="G50" s="5"/>
      <c r="H50" s="5"/>
      <c r="M50" s="42"/>
      <c r="N50" s="42"/>
      <c r="O50" s="42"/>
    </row>
    <row r="51" spans="1:15" ht="15.75" customHeight="1" x14ac:dyDescent="0.15">
      <c r="A51" s="2">
        <v>45251.565920324079</v>
      </c>
      <c r="B51" s="1" t="s">
        <v>41</v>
      </c>
      <c r="C51" s="1" t="s">
        <v>21</v>
      </c>
      <c r="D51" s="17" t="s">
        <v>42</v>
      </c>
      <c r="E51" s="9" t="s">
        <v>120</v>
      </c>
      <c r="F51" s="3" t="s">
        <v>218</v>
      </c>
      <c r="G51" s="3"/>
      <c r="H51" s="3"/>
      <c r="M51" s="42"/>
      <c r="N51" s="42"/>
      <c r="O51" s="42"/>
    </row>
    <row r="52" spans="1:15" ht="15.75" customHeight="1" x14ac:dyDescent="0.15">
      <c r="A52" s="2">
        <v>45251.56628082176</v>
      </c>
      <c r="B52" s="1" t="s">
        <v>20</v>
      </c>
      <c r="C52" s="1" t="s">
        <v>21</v>
      </c>
      <c r="D52" s="1" t="s">
        <v>60</v>
      </c>
      <c r="E52" s="1" t="s">
        <v>35</v>
      </c>
      <c r="F52" s="7" t="s">
        <v>219</v>
      </c>
      <c r="G52" s="7"/>
      <c r="H52" s="7"/>
    </row>
    <row r="53" spans="1:15" ht="15.75" customHeight="1" x14ac:dyDescent="0.15">
      <c r="A53" s="2">
        <v>45251.569686979172</v>
      </c>
      <c r="B53" s="1" t="s">
        <v>41</v>
      </c>
      <c r="C53" s="1" t="s">
        <v>21</v>
      </c>
      <c r="D53" s="17" t="s">
        <v>42</v>
      </c>
      <c r="E53" s="9" t="s">
        <v>43</v>
      </c>
      <c r="F53" s="5" t="s">
        <v>84</v>
      </c>
      <c r="G53" s="5"/>
      <c r="H53" s="5"/>
    </row>
    <row r="54" spans="1:15" ht="15.75" customHeight="1" x14ac:dyDescent="0.15">
      <c r="A54" s="2">
        <v>45251.572188530088</v>
      </c>
      <c r="B54" s="1" t="s">
        <v>41</v>
      </c>
      <c r="C54" s="1" t="s">
        <v>21</v>
      </c>
      <c r="D54" s="5" t="s">
        <v>51</v>
      </c>
      <c r="E54" s="9" t="s">
        <v>83</v>
      </c>
      <c r="F54" s="5" t="s">
        <v>81</v>
      </c>
      <c r="G54" s="5"/>
      <c r="H54" s="5"/>
    </row>
    <row r="55" spans="1:15" ht="13" x14ac:dyDescent="0.15">
      <c r="A55" s="2">
        <v>45251.572553344908</v>
      </c>
      <c r="B55" s="1" t="s">
        <v>41</v>
      </c>
      <c r="C55" s="1" t="s">
        <v>75</v>
      </c>
      <c r="D55" s="1" t="s">
        <v>60</v>
      </c>
      <c r="E55" s="1" t="s">
        <v>48</v>
      </c>
      <c r="F55" s="1" t="s">
        <v>127</v>
      </c>
      <c r="G55" s="1"/>
      <c r="H55" s="1"/>
    </row>
    <row r="56" spans="1:15" ht="13" x14ac:dyDescent="0.15">
      <c r="A56" s="2">
        <v>45251.5727687037</v>
      </c>
      <c r="B56" s="1" t="s">
        <v>20</v>
      </c>
      <c r="C56" s="1" t="s">
        <v>56</v>
      </c>
      <c r="D56" s="5" t="s">
        <v>51</v>
      </c>
      <c r="E56" s="9" t="s">
        <v>43</v>
      </c>
      <c r="F56" s="5" t="s">
        <v>36</v>
      </c>
      <c r="G56" s="5"/>
      <c r="H56" s="5"/>
    </row>
    <row r="57" spans="1:15" ht="13" x14ac:dyDescent="0.15">
      <c r="A57" s="2">
        <v>45251.57277353009</v>
      </c>
      <c r="B57" s="1" t="s">
        <v>41</v>
      </c>
      <c r="C57" s="1" t="s">
        <v>21</v>
      </c>
      <c r="D57" s="5" t="s">
        <v>51</v>
      </c>
      <c r="E57" s="1" t="s">
        <v>35</v>
      </c>
      <c r="F57" s="5" t="s">
        <v>129</v>
      </c>
      <c r="G57" s="5"/>
      <c r="H57" s="5"/>
    </row>
    <row r="58" spans="1:15" ht="13" x14ac:dyDescent="0.15">
      <c r="A58" s="2">
        <v>45251.572801527778</v>
      </c>
      <c r="B58" s="1" t="s">
        <v>20</v>
      </c>
      <c r="C58" s="1" t="s">
        <v>21</v>
      </c>
      <c r="D58" s="5" t="s">
        <v>51</v>
      </c>
      <c r="E58" s="9" t="s">
        <v>43</v>
      </c>
      <c r="F58" s="5" t="s">
        <v>49</v>
      </c>
      <c r="G58" s="5"/>
      <c r="H58" s="5"/>
    </row>
    <row r="59" spans="1:15" ht="13" x14ac:dyDescent="0.15">
      <c r="A59" s="2">
        <v>45251.573172986115</v>
      </c>
      <c r="B59" s="1" t="s">
        <v>41</v>
      </c>
      <c r="C59" s="1" t="s">
        <v>21</v>
      </c>
      <c r="D59" s="5" t="s">
        <v>51</v>
      </c>
      <c r="E59" s="1" t="s">
        <v>48</v>
      </c>
      <c r="F59" s="7" t="s">
        <v>70</v>
      </c>
      <c r="G59" s="7"/>
      <c r="H59" s="7"/>
    </row>
    <row r="60" spans="1:15" ht="13" x14ac:dyDescent="0.15">
      <c r="A60" s="2">
        <v>45251.573509872687</v>
      </c>
      <c r="B60" s="1" t="s">
        <v>41</v>
      </c>
      <c r="C60" s="1" t="s">
        <v>21</v>
      </c>
      <c r="D60" s="5" t="s">
        <v>51</v>
      </c>
      <c r="E60" s="1" t="s">
        <v>35</v>
      </c>
      <c r="F60" s="5" t="s">
        <v>84</v>
      </c>
      <c r="G60" s="5"/>
      <c r="H60" s="5"/>
    </row>
    <row r="61" spans="1:15" ht="13" x14ac:dyDescent="0.15">
      <c r="A61" s="2">
        <v>45251.573550925925</v>
      </c>
      <c r="B61" s="1" t="s">
        <v>41</v>
      </c>
      <c r="C61" s="1" t="s">
        <v>21</v>
      </c>
      <c r="D61" s="5" t="s">
        <v>51</v>
      </c>
      <c r="E61" s="9" t="s">
        <v>43</v>
      </c>
      <c r="F61" s="7" t="s">
        <v>89</v>
      </c>
      <c r="G61" s="7"/>
      <c r="H61" s="7"/>
    </row>
    <row r="62" spans="1:15" ht="13" x14ac:dyDescent="0.15">
      <c r="A62" s="2">
        <v>45251.573635497683</v>
      </c>
      <c r="B62" s="1" t="s">
        <v>41</v>
      </c>
      <c r="C62" s="1" t="s">
        <v>21</v>
      </c>
      <c r="D62" s="5" t="s">
        <v>51</v>
      </c>
      <c r="E62" s="9" t="s">
        <v>43</v>
      </c>
      <c r="F62" s="5" t="s">
        <v>84</v>
      </c>
      <c r="G62" s="5"/>
      <c r="H62" s="5"/>
    </row>
    <row r="63" spans="1:15" ht="13" x14ac:dyDescent="0.15">
      <c r="A63" s="2">
        <v>45251.573923240736</v>
      </c>
      <c r="B63" s="1" t="s">
        <v>41</v>
      </c>
      <c r="C63" s="1" t="s">
        <v>21</v>
      </c>
      <c r="D63" s="5" t="s">
        <v>51</v>
      </c>
      <c r="E63" s="9" t="s">
        <v>43</v>
      </c>
      <c r="F63" s="7" t="s">
        <v>44</v>
      </c>
      <c r="G63" s="7"/>
      <c r="H63" s="7"/>
    </row>
    <row r="64" spans="1:15" ht="13" x14ac:dyDescent="0.15">
      <c r="A64" s="2">
        <v>45251.57401236111</v>
      </c>
      <c r="B64" s="1" t="s">
        <v>20</v>
      </c>
      <c r="C64" s="1" t="s">
        <v>21</v>
      </c>
      <c r="D64" s="5" t="s">
        <v>51</v>
      </c>
      <c r="E64" s="9" t="s">
        <v>43</v>
      </c>
      <c r="F64" s="5" t="s">
        <v>132</v>
      </c>
      <c r="G64" s="5"/>
      <c r="H64" s="5"/>
    </row>
    <row r="65" spans="1:8" ht="13" x14ac:dyDescent="0.15">
      <c r="A65" s="2">
        <v>45251.574288703705</v>
      </c>
      <c r="B65" s="1" t="s">
        <v>41</v>
      </c>
      <c r="C65" s="1" t="s">
        <v>56</v>
      </c>
      <c r="D65" s="5" t="s">
        <v>51</v>
      </c>
      <c r="E65" s="1" t="s">
        <v>35</v>
      </c>
      <c r="F65" s="7" t="s">
        <v>103</v>
      </c>
      <c r="G65" s="7"/>
      <c r="H65" s="7"/>
    </row>
    <row r="66" spans="1:8" ht="13" x14ac:dyDescent="0.15">
      <c r="A66" s="2">
        <v>45251.574362858795</v>
      </c>
      <c r="B66" s="1" t="s">
        <v>41</v>
      </c>
      <c r="C66" s="1" t="s">
        <v>56</v>
      </c>
      <c r="D66" s="5" t="s">
        <v>51</v>
      </c>
      <c r="E66" s="1" t="s">
        <v>48</v>
      </c>
      <c r="F66" s="5" t="s">
        <v>73</v>
      </c>
      <c r="G66" s="5"/>
      <c r="H66" s="5"/>
    </row>
    <row r="67" spans="1:8" ht="13" x14ac:dyDescent="0.15">
      <c r="A67" s="2">
        <v>45251.574598113424</v>
      </c>
      <c r="B67" s="1" t="s">
        <v>41</v>
      </c>
      <c r="C67" s="1" t="s">
        <v>21</v>
      </c>
      <c r="D67" s="5" t="s">
        <v>51</v>
      </c>
      <c r="E67" s="1" t="s">
        <v>48</v>
      </c>
      <c r="F67" s="3" t="s">
        <v>220</v>
      </c>
      <c r="G67" s="3"/>
      <c r="H67" s="3"/>
    </row>
    <row r="68" spans="1:8" ht="13" x14ac:dyDescent="0.15">
      <c r="A68" s="2">
        <v>45251.574656921293</v>
      </c>
      <c r="B68" s="1" t="s">
        <v>41</v>
      </c>
      <c r="C68" s="1" t="s">
        <v>56</v>
      </c>
      <c r="D68" s="5" t="s">
        <v>51</v>
      </c>
      <c r="E68" s="9" t="s">
        <v>43</v>
      </c>
      <c r="F68" s="5" t="s">
        <v>129</v>
      </c>
      <c r="G68" s="5"/>
      <c r="H68" s="5"/>
    </row>
    <row r="69" spans="1:8" ht="13" x14ac:dyDescent="0.15">
      <c r="A69" s="2">
        <v>45251.574717384261</v>
      </c>
      <c r="B69" s="1" t="s">
        <v>41</v>
      </c>
      <c r="C69" s="1" t="s">
        <v>56</v>
      </c>
      <c r="D69" s="5" t="s">
        <v>51</v>
      </c>
      <c r="E69" s="9" t="s">
        <v>43</v>
      </c>
      <c r="F69" s="5" t="s">
        <v>93</v>
      </c>
      <c r="G69" s="5"/>
      <c r="H69" s="5"/>
    </row>
    <row r="70" spans="1:8" ht="13" x14ac:dyDescent="0.15">
      <c r="A70" s="2">
        <v>45251.574888287039</v>
      </c>
      <c r="B70" s="1" t="s">
        <v>41</v>
      </c>
      <c r="C70" s="1" t="s">
        <v>56</v>
      </c>
      <c r="D70" s="5" t="s">
        <v>51</v>
      </c>
      <c r="E70" s="1" t="s">
        <v>35</v>
      </c>
      <c r="F70" s="5" t="s">
        <v>93</v>
      </c>
      <c r="G70" s="5"/>
      <c r="H70" s="5"/>
    </row>
    <row r="71" spans="1:8" ht="13" x14ac:dyDescent="0.15">
      <c r="A71" s="2">
        <v>45251.575058078699</v>
      </c>
      <c r="B71" s="1" t="s">
        <v>20</v>
      </c>
      <c r="C71" s="1" t="s">
        <v>72</v>
      </c>
      <c r="D71" s="1" t="s">
        <v>60</v>
      </c>
      <c r="E71" s="9" t="s">
        <v>43</v>
      </c>
      <c r="F71" s="5" t="s">
        <v>81</v>
      </c>
      <c r="G71" s="5"/>
      <c r="H71" s="5"/>
    </row>
    <row r="72" spans="1:8" ht="13" x14ac:dyDescent="0.15">
      <c r="A72" s="2">
        <v>45251.57547408565</v>
      </c>
      <c r="B72" s="1" t="s">
        <v>41</v>
      </c>
      <c r="C72" s="1" t="s">
        <v>56</v>
      </c>
      <c r="D72" s="5" t="s">
        <v>51</v>
      </c>
      <c r="E72" s="1" t="s">
        <v>48</v>
      </c>
      <c r="F72" s="5" t="s">
        <v>84</v>
      </c>
      <c r="G72" s="5"/>
      <c r="H72" s="5"/>
    </row>
    <row r="73" spans="1:8" ht="13" x14ac:dyDescent="0.15">
      <c r="A73" s="2">
        <v>45251.575524965279</v>
      </c>
      <c r="B73" s="1" t="s">
        <v>20</v>
      </c>
      <c r="C73" s="1" t="s">
        <v>21</v>
      </c>
      <c r="D73" s="5" t="s">
        <v>51</v>
      </c>
      <c r="E73" s="1" t="s">
        <v>35</v>
      </c>
      <c r="F73" s="5" t="s">
        <v>81</v>
      </c>
      <c r="G73" s="5"/>
      <c r="H73" s="5"/>
    </row>
    <row r="74" spans="1:8" ht="13" x14ac:dyDescent="0.15">
      <c r="A74" s="2">
        <v>45251.576024421302</v>
      </c>
      <c r="B74" s="1" t="s">
        <v>41</v>
      </c>
      <c r="C74" s="1" t="s">
        <v>56</v>
      </c>
      <c r="D74" s="5" t="s">
        <v>51</v>
      </c>
      <c r="E74" s="9" t="s">
        <v>83</v>
      </c>
      <c r="F74" s="5" t="s">
        <v>79</v>
      </c>
      <c r="G74" s="5"/>
      <c r="H74" s="5"/>
    </row>
    <row r="75" spans="1:8" ht="13" x14ac:dyDescent="0.15">
      <c r="A75" s="2">
        <v>45251.576357858794</v>
      </c>
      <c r="B75" s="1" t="s">
        <v>41</v>
      </c>
      <c r="C75" s="1" t="s">
        <v>56</v>
      </c>
      <c r="D75" s="5" t="s">
        <v>51</v>
      </c>
      <c r="E75" s="9" t="s">
        <v>43</v>
      </c>
      <c r="F75" s="7" t="s">
        <v>141</v>
      </c>
      <c r="G75" s="7"/>
      <c r="H75" s="7"/>
    </row>
    <row r="76" spans="1:8" ht="13" x14ac:dyDescent="0.15">
      <c r="A76" s="2">
        <v>45251.576561678245</v>
      </c>
      <c r="B76" s="1" t="s">
        <v>41</v>
      </c>
      <c r="C76" s="1" t="s">
        <v>21</v>
      </c>
      <c r="D76" s="17" t="s">
        <v>42</v>
      </c>
      <c r="E76" s="1" t="s">
        <v>35</v>
      </c>
      <c r="F76" s="7" t="s">
        <v>103</v>
      </c>
      <c r="G76" s="7"/>
      <c r="H76" s="7"/>
    </row>
    <row r="77" spans="1:8" ht="13" x14ac:dyDescent="0.15">
      <c r="A77" s="2">
        <v>45251.577017731484</v>
      </c>
      <c r="B77" s="1" t="s">
        <v>20</v>
      </c>
      <c r="C77" s="1" t="s">
        <v>56</v>
      </c>
      <c r="D77" s="5" t="s">
        <v>51</v>
      </c>
      <c r="E77" s="1" t="s">
        <v>35</v>
      </c>
      <c r="F77" s="5" t="s">
        <v>81</v>
      </c>
      <c r="G77" s="5"/>
      <c r="H77" s="5"/>
    </row>
    <row r="78" spans="1:8" ht="13" x14ac:dyDescent="0.15">
      <c r="A78" s="2">
        <v>45251.577120057875</v>
      </c>
      <c r="B78" s="1" t="s">
        <v>20</v>
      </c>
      <c r="C78" s="1" t="s">
        <v>56</v>
      </c>
      <c r="D78" s="5" t="s">
        <v>51</v>
      </c>
      <c r="E78" s="9" t="s">
        <v>43</v>
      </c>
      <c r="F78" s="5" t="s">
        <v>49</v>
      </c>
      <c r="G78" s="5"/>
      <c r="H78" s="5"/>
    </row>
    <row r="79" spans="1:8" ht="13" x14ac:dyDescent="0.15">
      <c r="A79" s="2">
        <v>45251.57730524306</v>
      </c>
      <c r="B79" s="1" t="s">
        <v>41</v>
      </c>
      <c r="C79" s="1" t="s">
        <v>21</v>
      </c>
      <c r="D79" s="5" t="s">
        <v>51</v>
      </c>
      <c r="E79" s="9" t="s">
        <v>43</v>
      </c>
      <c r="F79" s="5" t="s">
        <v>81</v>
      </c>
      <c r="G79" s="5"/>
      <c r="H79" s="5"/>
    </row>
    <row r="80" spans="1:8" ht="13" x14ac:dyDescent="0.15">
      <c r="A80" s="2">
        <v>45251.57745582176</v>
      </c>
      <c r="B80" s="1" t="s">
        <v>20</v>
      </c>
      <c r="C80" s="1" t="s">
        <v>56</v>
      </c>
      <c r="D80" s="5" t="s">
        <v>51</v>
      </c>
      <c r="E80" s="1" t="s">
        <v>48</v>
      </c>
      <c r="F80" s="7" t="s">
        <v>146</v>
      </c>
      <c r="G80" s="7"/>
      <c r="H80" s="7"/>
    </row>
    <row r="81" spans="1:8" ht="13" x14ac:dyDescent="0.15">
      <c r="A81" s="2">
        <v>45251.577469525466</v>
      </c>
      <c r="B81" s="1" t="s">
        <v>20</v>
      </c>
      <c r="C81" s="1" t="s">
        <v>56</v>
      </c>
      <c r="D81" s="5" t="s">
        <v>51</v>
      </c>
      <c r="E81" s="1" t="s">
        <v>48</v>
      </c>
      <c r="F81" s="5" t="s">
        <v>84</v>
      </c>
      <c r="G81" s="5"/>
      <c r="H81" s="5"/>
    </row>
    <row r="82" spans="1:8" ht="13" x14ac:dyDescent="0.15">
      <c r="A82" s="2">
        <v>45251.577569594912</v>
      </c>
      <c r="B82" s="1" t="s">
        <v>20</v>
      </c>
      <c r="C82" s="1" t="s">
        <v>56</v>
      </c>
      <c r="D82" s="5" t="s">
        <v>51</v>
      </c>
      <c r="E82" s="1" t="s">
        <v>48</v>
      </c>
      <c r="F82" s="7" t="s">
        <v>146</v>
      </c>
      <c r="G82" s="7"/>
      <c r="H82" s="7"/>
    </row>
    <row r="83" spans="1:8" ht="13" x14ac:dyDescent="0.15">
      <c r="A83" s="2">
        <v>45251.577619525458</v>
      </c>
      <c r="B83" s="1" t="s">
        <v>20</v>
      </c>
      <c r="C83" s="1" t="s">
        <v>56</v>
      </c>
      <c r="D83" s="5" t="s">
        <v>51</v>
      </c>
      <c r="E83" s="1" t="s">
        <v>48</v>
      </c>
      <c r="F83" s="5" t="s">
        <v>62</v>
      </c>
      <c r="G83" s="5"/>
      <c r="H83" s="5"/>
    </row>
    <row r="84" spans="1:8" ht="13" x14ac:dyDescent="0.15">
      <c r="A84" s="2">
        <v>45251.577707233795</v>
      </c>
      <c r="B84" s="1" t="s">
        <v>41</v>
      </c>
      <c r="C84" s="1" t="s">
        <v>21</v>
      </c>
      <c r="D84" s="5" t="s">
        <v>51</v>
      </c>
      <c r="E84" s="1" t="s">
        <v>35</v>
      </c>
      <c r="F84" s="5" t="s">
        <v>84</v>
      </c>
      <c r="G84" s="5"/>
      <c r="H84" s="5"/>
    </row>
    <row r="85" spans="1:8" ht="13" x14ac:dyDescent="0.15">
      <c r="A85" s="2">
        <v>45251.578058333333</v>
      </c>
      <c r="B85" s="1" t="s">
        <v>20</v>
      </c>
      <c r="C85" s="1" t="s">
        <v>21</v>
      </c>
      <c r="D85" s="5" t="s">
        <v>51</v>
      </c>
      <c r="E85" s="1" t="s">
        <v>48</v>
      </c>
      <c r="F85" s="5" t="s">
        <v>150</v>
      </c>
      <c r="G85" s="5"/>
      <c r="H85" s="5"/>
    </row>
    <row r="86" spans="1:8" ht="13" x14ac:dyDescent="0.15">
      <c r="A86" s="2">
        <v>45251.578936423612</v>
      </c>
      <c r="B86" s="1" t="s">
        <v>41</v>
      </c>
      <c r="C86" s="1" t="s">
        <v>21</v>
      </c>
      <c r="D86" s="5" t="s">
        <v>51</v>
      </c>
      <c r="E86" s="9" t="s">
        <v>43</v>
      </c>
      <c r="F86" s="5" t="s">
        <v>49</v>
      </c>
      <c r="G86" s="5"/>
      <c r="H86" s="5"/>
    </row>
    <row r="87" spans="1:8" ht="13" x14ac:dyDescent="0.15">
      <c r="A87" s="2">
        <v>45251.580394803241</v>
      </c>
      <c r="B87" s="1" t="s">
        <v>41</v>
      </c>
      <c r="C87" s="1" t="s">
        <v>21</v>
      </c>
      <c r="D87" s="5" t="s">
        <v>51</v>
      </c>
      <c r="E87" s="9" t="s">
        <v>43</v>
      </c>
      <c r="F87" s="5" t="s">
        <v>49</v>
      </c>
      <c r="G87" s="5"/>
      <c r="H87" s="5"/>
    </row>
    <row r="88" spans="1:8" ht="13" x14ac:dyDescent="0.15">
      <c r="A88" s="2">
        <v>45251.580448587963</v>
      </c>
      <c r="B88" s="1" t="s">
        <v>41</v>
      </c>
      <c r="C88" s="1" t="s">
        <v>56</v>
      </c>
      <c r="D88" s="5" t="s">
        <v>51</v>
      </c>
      <c r="E88" s="9" t="s">
        <v>43</v>
      </c>
      <c r="F88" s="5" t="s">
        <v>84</v>
      </c>
      <c r="G88" s="5"/>
      <c r="H88" s="5"/>
    </row>
    <row r="89" spans="1:8" ht="13" x14ac:dyDescent="0.15">
      <c r="A89" s="2">
        <v>45251.585245196758</v>
      </c>
      <c r="B89" s="1" t="s">
        <v>41</v>
      </c>
      <c r="C89" s="1" t="s">
        <v>21</v>
      </c>
      <c r="D89" s="17" t="s">
        <v>42</v>
      </c>
      <c r="E89" s="9" t="s">
        <v>43</v>
      </c>
      <c r="F89" s="5" t="s">
        <v>129</v>
      </c>
      <c r="G89" s="5"/>
      <c r="H89" s="5"/>
    </row>
    <row r="90" spans="1:8" ht="13" x14ac:dyDescent="0.15">
      <c r="A90" s="2">
        <v>45251.588210925926</v>
      </c>
      <c r="B90" s="1" t="s">
        <v>20</v>
      </c>
      <c r="C90" s="1" t="s">
        <v>56</v>
      </c>
      <c r="D90" s="5" t="s">
        <v>51</v>
      </c>
      <c r="E90" s="1" t="s">
        <v>35</v>
      </c>
      <c r="F90" s="5" t="s">
        <v>84</v>
      </c>
      <c r="G90" s="5"/>
      <c r="H90" s="5"/>
    </row>
    <row r="91" spans="1:8" ht="13" x14ac:dyDescent="0.15">
      <c r="A91" s="2">
        <v>45251.618555740744</v>
      </c>
      <c r="B91" s="1" t="s">
        <v>41</v>
      </c>
      <c r="C91" s="1" t="s">
        <v>21</v>
      </c>
      <c r="D91" s="17" t="s">
        <v>42</v>
      </c>
      <c r="E91" s="1" t="s">
        <v>35</v>
      </c>
      <c r="F91" s="7" t="s">
        <v>103</v>
      </c>
      <c r="G91" s="7"/>
      <c r="H91" s="7"/>
    </row>
    <row r="92" spans="1:8" ht="13" x14ac:dyDescent="0.15">
      <c r="A92" s="2">
        <v>45251.630657395828</v>
      </c>
      <c r="B92" s="1" t="s">
        <v>41</v>
      </c>
      <c r="C92" s="1" t="s">
        <v>56</v>
      </c>
      <c r="D92" s="5" t="s">
        <v>51</v>
      </c>
      <c r="E92" s="1" t="s">
        <v>35</v>
      </c>
      <c r="F92" s="5" t="s">
        <v>84</v>
      </c>
      <c r="G92" s="5"/>
      <c r="H92" s="5"/>
    </row>
    <row r="93" spans="1:8" ht="13" x14ac:dyDescent="0.15">
      <c r="A93" s="2">
        <v>45251.632915671296</v>
      </c>
      <c r="B93" s="1" t="s">
        <v>41</v>
      </c>
      <c r="C93" s="1" t="s">
        <v>56</v>
      </c>
      <c r="D93" s="5" t="s">
        <v>51</v>
      </c>
      <c r="E93" s="9" t="s">
        <v>83</v>
      </c>
      <c r="F93" s="7" t="s">
        <v>89</v>
      </c>
      <c r="G93" s="7"/>
      <c r="H93" s="7"/>
    </row>
    <row r="94" spans="1:8" ht="13" x14ac:dyDescent="0.15">
      <c r="A94" s="2">
        <v>45251.638154918983</v>
      </c>
      <c r="B94" s="1" t="s">
        <v>20</v>
      </c>
      <c r="C94" s="1" t="s">
        <v>21</v>
      </c>
      <c r="D94" s="17" t="s">
        <v>42</v>
      </c>
      <c r="E94" s="1" t="s">
        <v>58</v>
      </c>
      <c r="F94" s="5" t="s">
        <v>49</v>
      </c>
      <c r="G94" s="5"/>
      <c r="H94" s="5"/>
    </row>
    <row r="95" spans="1:8" ht="13" x14ac:dyDescent="0.15">
      <c r="A95" s="2">
        <v>45251.652837465277</v>
      </c>
      <c r="B95" s="1" t="s">
        <v>41</v>
      </c>
      <c r="C95" s="1" t="s">
        <v>21</v>
      </c>
      <c r="D95" s="17" t="s">
        <v>42</v>
      </c>
      <c r="E95" s="1" t="s">
        <v>48</v>
      </c>
      <c r="F95" s="7" t="s">
        <v>89</v>
      </c>
      <c r="G95" s="7"/>
      <c r="H95" s="7"/>
    </row>
    <row r="96" spans="1:8" ht="13" x14ac:dyDescent="0.15">
      <c r="A96" s="2">
        <v>45251.655083368052</v>
      </c>
      <c r="B96" s="1" t="s">
        <v>20</v>
      </c>
      <c r="C96" s="1" t="s">
        <v>56</v>
      </c>
      <c r="D96" s="5" t="s">
        <v>51</v>
      </c>
      <c r="E96" s="1" t="s">
        <v>35</v>
      </c>
      <c r="F96" s="5" t="s">
        <v>62</v>
      </c>
      <c r="G96" s="5"/>
      <c r="H96" s="5"/>
    </row>
    <row r="97" spans="1:8" ht="13" x14ac:dyDescent="0.15">
      <c r="A97" s="2">
        <v>45251.655338391203</v>
      </c>
      <c r="B97" s="1" t="s">
        <v>41</v>
      </c>
      <c r="C97" s="1" t="s">
        <v>21</v>
      </c>
      <c r="D97" s="17" t="s">
        <v>42</v>
      </c>
      <c r="E97" s="1" t="s">
        <v>35</v>
      </c>
      <c r="F97" s="1" t="s">
        <v>127</v>
      </c>
      <c r="G97" s="1"/>
      <c r="H97" s="1"/>
    </row>
    <row r="98" spans="1:8" ht="13" x14ac:dyDescent="0.15">
      <c r="A98" s="2">
        <v>45251.675592719912</v>
      </c>
      <c r="B98" s="1" t="s">
        <v>41</v>
      </c>
      <c r="C98" s="1" t="s">
        <v>56</v>
      </c>
      <c r="D98" s="5" t="s">
        <v>51</v>
      </c>
      <c r="E98" s="1" t="s">
        <v>35</v>
      </c>
      <c r="F98" s="7" t="s">
        <v>89</v>
      </c>
      <c r="G98" s="7"/>
      <c r="H98" s="7"/>
    </row>
    <row r="99" spans="1:8" ht="13" x14ac:dyDescent="0.15">
      <c r="A99" s="2">
        <v>45251.676486909724</v>
      </c>
      <c r="B99" s="1" t="s">
        <v>20</v>
      </c>
      <c r="C99" s="1" t="s">
        <v>77</v>
      </c>
      <c r="D99" s="1" t="s">
        <v>60</v>
      </c>
      <c r="E99" s="9" t="s">
        <v>43</v>
      </c>
      <c r="F99" s="5" t="s">
        <v>73</v>
      </c>
      <c r="G99" s="5"/>
      <c r="H99" s="5"/>
    </row>
    <row r="100" spans="1:8" ht="13" x14ac:dyDescent="0.15">
      <c r="A100" s="2">
        <v>45251.705367777773</v>
      </c>
      <c r="B100" s="1" t="s">
        <v>41</v>
      </c>
      <c r="C100" s="1" t="s">
        <v>21</v>
      </c>
      <c r="D100" s="17" t="s">
        <v>42</v>
      </c>
      <c r="E100" s="1" t="s">
        <v>35</v>
      </c>
      <c r="F100" s="5" t="s">
        <v>79</v>
      </c>
      <c r="G100" s="5"/>
      <c r="H100" s="5"/>
    </row>
    <row r="101" spans="1:8" ht="13" x14ac:dyDescent="0.15">
      <c r="A101" s="2">
        <v>45251.707655532402</v>
      </c>
      <c r="B101" s="1" t="s">
        <v>55</v>
      </c>
      <c r="C101" s="1" t="s">
        <v>21</v>
      </c>
      <c r="D101" s="17" t="s">
        <v>42</v>
      </c>
      <c r="E101" s="1" t="s">
        <v>35</v>
      </c>
      <c r="F101" s="5" t="s">
        <v>84</v>
      </c>
      <c r="G101" s="5"/>
      <c r="H101" s="5"/>
    </row>
    <row r="102" spans="1:8" ht="13" x14ac:dyDescent="0.15">
      <c r="A102" s="2">
        <v>45251.710113622685</v>
      </c>
      <c r="B102" s="1" t="s">
        <v>20</v>
      </c>
      <c r="C102" s="1" t="s">
        <v>77</v>
      </c>
      <c r="D102" s="1" t="s">
        <v>60</v>
      </c>
      <c r="E102" s="1" t="s">
        <v>35</v>
      </c>
      <c r="F102" s="5" t="s">
        <v>73</v>
      </c>
      <c r="G102" s="5"/>
      <c r="H102" s="5"/>
    </row>
    <row r="103" spans="1:8" ht="13" x14ac:dyDescent="0.15">
      <c r="A103" s="2">
        <v>45251.735638495375</v>
      </c>
      <c r="B103" s="1" t="s">
        <v>41</v>
      </c>
      <c r="C103" s="1" t="s">
        <v>21</v>
      </c>
      <c r="D103" s="5" t="s">
        <v>51</v>
      </c>
      <c r="E103" s="9" t="s">
        <v>83</v>
      </c>
      <c r="F103" s="7" t="s">
        <v>65</v>
      </c>
      <c r="G103" s="7"/>
      <c r="H103" s="7"/>
    </row>
    <row r="104" spans="1:8" ht="13" x14ac:dyDescent="0.15">
      <c r="A104" s="2">
        <v>45251.740426932869</v>
      </c>
      <c r="B104" s="1" t="s">
        <v>41</v>
      </c>
      <c r="C104" s="1" t="s">
        <v>163</v>
      </c>
      <c r="D104" s="1" t="s">
        <v>60</v>
      </c>
      <c r="E104" s="1" t="s">
        <v>35</v>
      </c>
      <c r="F104" s="1" t="s">
        <v>127</v>
      </c>
      <c r="G104" s="1"/>
      <c r="H104" s="1"/>
    </row>
    <row r="105" spans="1:8" ht="13" x14ac:dyDescent="0.15">
      <c r="A105" s="2">
        <v>45251.742632673609</v>
      </c>
      <c r="B105" s="1" t="s">
        <v>41</v>
      </c>
      <c r="C105" s="1" t="s">
        <v>21</v>
      </c>
      <c r="D105" s="17" t="s">
        <v>42</v>
      </c>
      <c r="E105" s="9" t="s">
        <v>43</v>
      </c>
      <c r="F105" s="5" t="s">
        <v>79</v>
      </c>
      <c r="G105" s="5"/>
      <c r="H105" s="5"/>
    </row>
    <row r="106" spans="1:8" ht="13" x14ac:dyDescent="0.15">
      <c r="A106" s="2">
        <v>45251.743431643517</v>
      </c>
      <c r="B106" s="1" t="s">
        <v>41</v>
      </c>
      <c r="C106" s="1" t="s">
        <v>21</v>
      </c>
      <c r="D106" s="17" t="s">
        <v>42</v>
      </c>
      <c r="E106" s="1" t="s">
        <v>35</v>
      </c>
      <c r="F106" s="5" t="s">
        <v>150</v>
      </c>
      <c r="G106" s="5"/>
      <c r="H106" s="5"/>
    </row>
    <row r="107" spans="1:8" ht="13" x14ac:dyDescent="0.15">
      <c r="A107" s="2">
        <v>45251.753895613423</v>
      </c>
      <c r="B107" s="1" t="s">
        <v>41</v>
      </c>
      <c r="C107" s="1" t="s">
        <v>75</v>
      </c>
      <c r="D107" s="1" t="s">
        <v>60</v>
      </c>
      <c r="E107" s="1" t="s">
        <v>35</v>
      </c>
      <c r="F107" s="5" t="s">
        <v>73</v>
      </c>
      <c r="G107" s="5"/>
      <c r="H107" s="5"/>
    </row>
    <row r="108" spans="1:8" ht="13" x14ac:dyDescent="0.15">
      <c r="A108" s="2">
        <v>45251.7635696875</v>
      </c>
      <c r="B108" s="1" t="s">
        <v>20</v>
      </c>
      <c r="C108" s="1" t="s">
        <v>56</v>
      </c>
      <c r="D108" s="5" t="s">
        <v>51</v>
      </c>
      <c r="E108" s="1" t="s">
        <v>35</v>
      </c>
      <c r="F108" s="7" t="s">
        <v>89</v>
      </c>
      <c r="G108" s="7"/>
      <c r="H108" s="7"/>
    </row>
    <row r="109" spans="1:8" ht="13" x14ac:dyDescent="0.15">
      <c r="A109" s="2">
        <v>45251.772083449076</v>
      </c>
      <c r="B109" s="1" t="s">
        <v>41</v>
      </c>
      <c r="C109" s="1" t="s">
        <v>72</v>
      </c>
      <c r="D109" s="1" t="s">
        <v>60</v>
      </c>
      <c r="E109" s="1" t="s">
        <v>35</v>
      </c>
      <c r="F109" s="5" t="s">
        <v>73</v>
      </c>
      <c r="G109" s="5"/>
      <c r="H109" s="5"/>
    </row>
    <row r="110" spans="1:8" ht="13" x14ac:dyDescent="0.15">
      <c r="A110" s="2">
        <v>45251.772312337962</v>
      </c>
      <c r="B110" s="1" t="s">
        <v>41</v>
      </c>
      <c r="C110" s="1" t="s">
        <v>72</v>
      </c>
      <c r="D110" s="1" t="s">
        <v>60</v>
      </c>
      <c r="E110" s="1" t="s">
        <v>35</v>
      </c>
      <c r="F110" s="5" t="s">
        <v>73</v>
      </c>
      <c r="G110" s="5"/>
      <c r="H110" s="5"/>
    </row>
    <row r="111" spans="1:8" ht="13" x14ac:dyDescent="0.15">
      <c r="A111" s="2">
        <v>45251.774068090279</v>
      </c>
      <c r="B111" s="1" t="s">
        <v>20</v>
      </c>
      <c r="C111" s="1" t="s">
        <v>72</v>
      </c>
      <c r="D111" s="1" t="s">
        <v>60</v>
      </c>
      <c r="E111" s="1" t="s">
        <v>35</v>
      </c>
      <c r="F111" s="5" t="s">
        <v>73</v>
      </c>
      <c r="G111" s="5"/>
      <c r="H111" s="5"/>
    </row>
    <row r="112" spans="1:8" ht="13" x14ac:dyDescent="0.15">
      <c r="A112" s="2">
        <v>45251.776530069445</v>
      </c>
      <c r="B112" s="1" t="s">
        <v>41</v>
      </c>
      <c r="C112" s="1" t="s">
        <v>72</v>
      </c>
      <c r="D112" s="1" t="s">
        <v>60</v>
      </c>
      <c r="E112" s="9" t="s">
        <v>43</v>
      </c>
      <c r="F112" s="5" t="s">
        <v>73</v>
      </c>
      <c r="G112" s="5"/>
      <c r="H112" s="5"/>
    </row>
    <row r="113" spans="1:8" ht="13" x14ac:dyDescent="0.15">
      <c r="A113" s="2">
        <v>45251.7803341088</v>
      </c>
      <c r="B113" s="1" t="s">
        <v>41</v>
      </c>
      <c r="C113" s="1" t="s">
        <v>72</v>
      </c>
      <c r="D113" s="1" t="s">
        <v>60</v>
      </c>
      <c r="E113" s="1" t="s">
        <v>35</v>
      </c>
      <c r="F113" s="7" t="s">
        <v>103</v>
      </c>
      <c r="G113" s="7"/>
      <c r="H113" s="7"/>
    </row>
    <row r="114" spans="1:8" ht="13" x14ac:dyDescent="0.15">
      <c r="A114" s="2">
        <v>45251.782128738429</v>
      </c>
      <c r="B114" s="1" t="s">
        <v>20</v>
      </c>
      <c r="C114" s="1" t="s">
        <v>56</v>
      </c>
      <c r="D114" s="5" t="s">
        <v>51</v>
      </c>
      <c r="E114" s="1" t="s">
        <v>48</v>
      </c>
      <c r="F114" s="5" t="s">
        <v>93</v>
      </c>
      <c r="G114" s="5"/>
      <c r="H114" s="5"/>
    </row>
    <row r="115" spans="1:8" ht="13" x14ac:dyDescent="0.15">
      <c r="A115" s="2">
        <v>45251.782140694442</v>
      </c>
      <c r="B115" s="1" t="s">
        <v>20</v>
      </c>
      <c r="C115" s="1" t="s">
        <v>56</v>
      </c>
      <c r="D115" s="5" t="s">
        <v>51</v>
      </c>
      <c r="E115" s="1" t="s">
        <v>48</v>
      </c>
      <c r="F115" s="3" t="s">
        <v>218</v>
      </c>
      <c r="G115" s="3"/>
      <c r="H115" s="3"/>
    </row>
    <row r="116" spans="1:8" ht="13" x14ac:dyDescent="0.15">
      <c r="A116" s="2">
        <v>45251.782739282411</v>
      </c>
      <c r="B116" s="1" t="s">
        <v>41</v>
      </c>
      <c r="C116" s="1" t="s">
        <v>56</v>
      </c>
      <c r="D116" s="5" t="s">
        <v>51</v>
      </c>
      <c r="E116" s="9" t="s">
        <v>43</v>
      </c>
      <c r="F116" s="7" t="s">
        <v>44</v>
      </c>
      <c r="G116" s="7"/>
      <c r="H116" s="7"/>
    </row>
    <row r="117" spans="1:8" ht="13" x14ac:dyDescent="0.15">
      <c r="A117" s="2">
        <v>45251.783047696765</v>
      </c>
      <c r="B117" s="1" t="s">
        <v>41</v>
      </c>
      <c r="C117" s="1" t="s">
        <v>56</v>
      </c>
      <c r="D117" s="5" t="s">
        <v>51</v>
      </c>
      <c r="E117" s="9" t="s">
        <v>43</v>
      </c>
      <c r="F117" s="5" t="s">
        <v>73</v>
      </c>
      <c r="G117" s="5"/>
      <c r="H117" s="5"/>
    </row>
    <row r="118" spans="1:8" ht="13" x14ac:dyDescent="0.15">
      <c r="A118" s="2">
        <v>45251.783067893513</v>
      </c>
      <c r="B118" s="1" t="s">
        <v>41</v>
      </c>
      <c r="C118" s="1" t="s">
        <v>56</v>
      </c>
      <c r="D118" s="5" t="s">
        <v>51</v>
      </c>
      <c r="E118" s="9" t="s">
        <v>43</v>
      </c>
      <c r="F118" s="5" t="s">
        <v>36</v>
      </c>
      <c r="G118" s="5"/>
      <c r="H118" s="5"/>
    </row>
    <row r="119" spans="1:8" ht="13" x14ac:dyDescent="0.15">
      <c r="A119" s="2">
        <v>45251.784508506942</v>
      </c>
      <c r="B119" s="1" t="s">
        <v>41</v>
      </c>
      <c r="C119" s="1" t="s">
        <v>56</v>
      </c>
      <c r="D119" s="5" t="s">
        <v>51</v>
      </c>
      <c r="E119" s="1" t="s">
        <v>35</v>
      </c>
      <c r="F119" s="7" t="s">
        <v>221</v>
      </c>
      <c r="G119" s="7"/>
      <c r="H119" s="7"/>
    </row>
    <row r="120" spans="1:8" ht="13" x14ac:dyDescent="0.15">
      <c r="A120" s="2">
        <v>45251.78651528935</v>
      </c>
      <c r="B120" s="1" t="s">
        <v>41</v>
      </c>
      <c r="C120" s="1" t="s">
        <v>56</v>
      </c>
      <c r="D120" s="5" t="s">
        <v>51</v>
      </c>
      <c r="E120" s="1" t="s">
        <v>35</v>
      </c>
      <c r="F120" s="7" t="s">
        <v>89</v>
      </c>
      <c r="G120" s="7"/>
      <c r="H120" s="7"/>
    </row>
    <row r="121" spans="1:8" ht="13" x14ac:dyDescent="0.15">
      <c r="A121" s="2">
        <v>45251.78659369213</v>
      </c>
      <c r="B121" s="1" t="s">
        <v>41</v>
      </c>
      <c r="C121" s="1" t="s">
        <v>56</v>
      </c>
      <c r="D121" s="5" t="s">
        <v>51</v>
      </c>
      <c r="E121" s="1" t="s">
        <v>58</v>
      </c>
      <c r="F121" s="3" t="s">
        <v>218</v>
      </c>
      <c r="G121" s="3"/>
      <c r="H121" s="3"/>
    </row>
    <row r="122" spans="1:8" ht="13" x14ac:dyDescent="0.15">
      <c r="A122" s="2">
        <v>45251.790628518516</v>
      </c>
      <c r="B122" s="1" t="s">
        <v>20</v>
      </c>
      <c r="C122" s="1" t="s">
        <v>56</v>
      </c>
      <c r="D122" s="5" t="s">
        <v>51</v>
      </c>
      <c r="E122" s="1" t="s">
        <v>48</v>
      </c>
      <c r="F122" s="5" t="s">
        <v>81</v>
      </c>
      <c r="G122" s="5"/>
      <c r="H122" s="5"/>
    </row>
    <row r="123" spans="1:8" ht="13" x14ac:dyDescent="0.15">
      <c r="A123" s="2">
        <v>45251.791547013891</v>
      </c>
      <c r="B123" s="1" t="s">
        <v>20</v>
      </c>
      <c r="C123" s="1" t="s">
        <v>56</v>
      </c>
      <c r="D123" s="5" t="s">
        <v>51</v>
      </c>
      <c r="E123" s="1" t="s">
        <v>35</v>
      </c>
      <c r="F123" s="5" t="s">
        <v>84</v>
      </c>
      <c r="G123" s="5"/>
      <c r="H123" s="5"/>
    </row>
    <row r="124" spans="1:8" ht="13" x14ac:dyDescent="0.15">
      <c r="A124" s="2">
        <v>45251.797867395835</v>
      </c>
      <c r="B124" s="1" t="s">
        <v>41</v>
      </c>
      <c r="C124" s="1" t="s">
        <v>21</v>
      </c>
      <c r="D124" s="17" t="s">
        <v>42</v>
      </c>
      <c r="E124" s="1" t="s">
        <v>48</v>
      </c>
      <c r="F124" s="5" t="s">
        <v>79</v>
      </c>
      <c r="G124" s="5"/>
      <c r="H124" s="5"/>
    </row>
    <row r="125" spans="1:8" ht="13" x14ac:dyDescent="0.15">
      <c r="A125" s="2">
        <v>45251.807915324069</v>
      </c>
      <c r="B125" s="1" t="s">
        <v>41</v>
      </c>
      <c r="C125" s="1" t="s">
        <v>21</v>
      </c>
      <c r="D125" s="1" t="s">
        <v>60</v>
      </c>
      <c r="E125" s="1" t="s">
        <v>48</v>
      </c>
      <c r="F125" s="5" t="s">
        <v>84</v>
      </c>
      <c r="G125" s="5"/>
      <c r="H125" s="5"/>
    </row>
    <row r="126" spans="1:8" ht="13" x14ac:dyDescent="0.15">
      <c r="A126" s="2">
        <v>45251.808582199075</v>
      </c>
      <c r="B126" s="1" t="s">
        <v>20</v>
      </c>
      <c r="C126" s="1" t="s">
        <v>21</v>
      </c>
      <c r="D126" s="1" t="s">
        <v>60</v>
      </c>
      <c r="E126" s="1" t="s">
        <v>35</v>
      </c>
      <c r="F126" s="5" t="s">
        <v>73</v>
      </c>
      <c r="G126" s="5"/>
      <c r="H126" s="5"/>
    </row>
    <row r="127" spans="1:8" ht="13" x14ac:dyDescent="0.15">
      <c r="A127" s="2">
        <v>45251.815429062495</v>
      </c>
      <c r="B127" s="1" t="s">
        <v>41</v>
      </c>
      <c r="C127" s="1" t="s">
        <v>72</v>
      </c>
      <c r="D127" s="1" t="s">
        <v>60</v>
      </c>
      <c r="E127" s="1" t="s">
        <v>48</v>
      </c>
      <c r="F127" s="1" t="s">
        <v>127</v>
      </c>
      <c r="G127" s="1"/>
      <c r="H127" s="1"/>
    </row>
    <row r="128" spans="1:8" ht="13" x14ac:dyDescent="0.15">
      <c r="A128" s="2">
        <v>45251.816763067131</v>
      </c>
      <c r="B128" s="1" t="s">
        <v>20</v>
      </c>
      <c r="C128" s="1" t="s">
        <v>56</v>
      </c>
      <c r="D128" s="5" t="s">
        <v>51</v>
      </c>
      <c r="E128" s="1" t="s">
        <v>35</v>
      </c>
      <c r="F128" s="5" t="s">
        <v>109</v>
      </c>
      <c r="G128" s="5"/>
      <c r="H128" s="5"/>
    </row>
    <row r="129" spans="1:8" ht="13" x14ac:dyDescent="0.15">
      <c r="A129" s="2">
        <v>45251.837336724537</v>
      </c>
      <c r="B129" s="1" t="s">
        <v>41</v>
      </c>
      <c r="C129" s="1" t="s">
        <v>75</v>
      </c>
      <c r="D129" s="1" t="s">
        <v>60</v>
      </c>
      <c r="E129" s="1" t="s">
        <v>35</v>
      </c>
      <c r="F129" s="8" t="s">
        <v>44</v>
      </c>
      <c r="G129" s="8"/>
      <c r="H129" s="8"/>
    </row>
    <row r="130" spans="1:8" ht="13" x14ac:dyDescent="0.15">
      <c r="A130" s="2">
        <v>45251.85367887732</v>
      </c>
      <c r="B130" s="1" t="s">
        <v>41</v>
      </c>
      <c r="C130" s="1" t="s">
        <v>75</v>
      </c>
      <c r="D130" s="1" t="s">
        <v>60</v>
      </c>
      <c r="E130" s="1" t="s">
        <v>48</v>
      </c>
      <c r="F130" s="8" t="s">
        <v>103</v>
      </c>
      <c r="G130" s="8"/>
      <c r="H130" s="8"/>
    </row>
    <row r="131" spans="1:8" ht="13" x14ac:dyDescent="0.15">
      <c r="A131" s="2">
        <v>45251.864192893518</v>
      </c>
      <c r="B131" s="1" t="s">
        <v>41</v>
      </c>
      <c r="C131" s="1" t="s">
        <v>77</v>
      </c>
      <c r="D131" s="1" t="s">
        <v>60</v>
      </c>
      <c r="E131" s="9" t="s">
        <v>43</v>
      </c>
      <c r="F131" s="5" t="s">
        <v>93</v>
      </c>
      <c r="G131" s="5"/>
      <c r="H131" s="5"/>
    </row>
    <row r="132" spans="1:8" ht="13" x14ac:dyDescent="0.15">
      <c r="A132" s="2">
        <v>45251.869960185184</v>
      </c>
      <c r="B132" s="1" t="s">
        <v>41</v>
      </c>
      <c r="C132" s="1" t="s">
        <v>56</v>
      </c>
      <c r="D132" s="5" t="s">
        <v>51</v>
      </c>
      <c r="E132" s="1" t="s">
        <v>35</v>
      </c>
      <c r="F132" s="8" t="s">
        <v>89</v>
      </c>
      <c r="G132" s="8"/>
      <c r="H132" s="8"/>
    </row>
    <row r="133" spans="1:8" ht="13" x14ac:dyDescent="0.15">
      <c r="A133" s="2">
        <v>45251.878981342597</v>
      </c>
      <c r="B133" s="1" t="s">
        <v>20</v>
      </c>
      <c r="C133" s="1" t="s">
        <v>56</v>
      </c>
      <c r="D133" s="5" t="s">
        <v>51</v>
      </c>
      <c r="E133" s="9" t="s">
        <v>43</v>
      </c>
      <c r="F133" s="5" t="s">
        <v>79</v>
      </c>
      <c r="G133" s="5"/>
      <c r="H133" s="5"/>
    </row>
    <row r="134" spans="1:8" ht="13" x14ac:dyDescent="0.15">
      <c r="A134" s="2">
        <v>45251.884422754629</v>
      </c>
      <c r="B134" s="1" t="s">
        <v>41</v>
      </c>
      <c r="C134" s="1" t="s">
        <v>75</v>
      </c>
      <c r="D134" s="1" t="s">
        <v>60</v>
      </c>
      <c r="E134" s="9" t="s">
        <v>83</v>
      </c>
      <c r="F134" s="5" t="s">
        <v>81</v>
      </c>
      <c r="G134" s="5"/>
      <c r="H134" s="5"/>
    </row>
    <row r="135" spans="1:8" ht="13" x14ac:dyDescent="0.15">
      <c r="A135" s="2">
        <v>45251.907799606481</v>
      </c>
      <c r="B135" s="1" t="s">
        <v>41</v>
      </c>
      <c r="C135" s="1" t="s">
        <v>21</v>
      </c>
      <c r="D135" s="5" t="s">
        <v>51</v>
      </c>
      <c r="E135" s="1" t="s">
        <v>35</v>
      </c>
      <c r="F135" s="7" t="s">
        <v>89</v>
      </c>
      <c r="G135" s="7"/>
      <c r="H135" s="7"/>
    </row>
    <row r="136" spans="1:8" ht="13" x14ac:dyDescent="0.15">
      <c r="A136" s="2">
        <v>45251.908089363424</v>
      </c>
      <c r="B136" s="1" t="s">
        <v>41</v>
      </c>
      <c r="C136" s="1" t="s">
        <v>56</v>
      </c>
      <c r="D136" s="5" t="s">
        <v>51</v>
      </c>
      <c r="E136" s="1" t="s">
        <v>35</v>
      </c>
      <c r="F136" s="5" t="s">
        <v>84</v>
      </c>
      <c r="G136" s="5"/>
      <c r="H136" s="5"/>
    </row>
    <row r="137" spans="1:8" ht="13" x14ac:dyDescent="0.15">
      <c r="A137" s="2">
        <v>45251.908119664353</v>
      </c>
      <c r="B137" s="1" t="s">
        <v>41</v>
      </c>
      <c r="C137" s="1" t="s">
        <v>21</v>
      </c>
      <c r="D137" s="17" t="s">
        <v>42</v>
      </c>
      <c r="E137" s="1" t="s">
        <v>35</v>
      </c>
      <c r="F137" s="5" t="s">
        <v>79</v>
      </c>
      <c r="G137" s="5"/>
      <c r="H137" s="5"/>
    </row>
    <row r="138" spans="1:8" ht="13" x14ac:dyDescent="0.15">
      <c r="A138" s="2">
        <v>45251.908433020828</v>
      </c>
      <c r="B138" s="1" t="s">
        <v>20</v>
      </c>
      <c r="C138" s="1" t="s">
        <v>56</v>
      </c>
      <c r="D138" s="5" t="s">
        <v>51</v>
      </c>
      <c r="E138" s="9" t="s">
        <v>43</v>
      </c>
      <c r="F138" s="1" t="s">
        <v>189</v>
      </c>
      <c r="G138" s="1"/>
      <c r="H138" s="1"/>
    </row>
    <row r="139" spans="1:8" ht="13" x14ac:dyDescent="0.15">
      <c r="A139" s="2">
        <v>45251.90844295139</v>
      </c>
      <c r="B139" s="1" t="s">
        <v>20</v>
      </c>
      <c r="C139" s="1" t="s">
        <v>21</v>
      </c>
      <c r="D139" s="18" t="s">
        <v>55</v>
      </c>
      <c r="E139" s="1" t="s">
        <v>48</v>
      </c>
      <c r="F139" s="5" t="s">
        <v>84</v>
      </c>
      <c r="G139" s="5"/>
      <c r="H139" s="5"/>
    </row>
    <row r="140" spans="1:8" ht="13" x14ac:dyDescent="0.15">
      <c r="A140" s="2">
        <v>45251.908496689815</v>
      </c>
      <c r="B140" s="1" t="s">
        <v>41</v>
      </c>
      <c r="C140" s="1" t="s">
        <v>21</v>
      </c>
      <c r="D140" s="5" t="s">
        <v>51</v>
      </c>
      <c r="E140" s="9" t="s">
        <v>43</v>
      </c>
      <c r="F140" s="7" t="s">
        <v>70</v>
      </c>
      <c r="G140" s="7"/>
      <c r="H140" s="7"/>
    </row>
    <row r="141" spans="1:8" ht="13" x14ac:dyDescent="0.15">
      <c r="A141" s="2">
        <v>45251.908716238424</v>
      </c>
      <c r="B141" s="1" t="s">
        <v>20</v>
      </c>
      <c r="C141" s="1" t="s">
        <v>56</v>
      </c>
      <c r="D141" s="5" t="s">
        <v>51</v>
      </c>
      <c r="E141" s="9" t="s">
        <v>43</v>
      </c>
      <c r="F141" s="5" t="s">
        <v>81</v>
      </c>
      <c r="G141" s="5"/>
      <c r="H141" s="5"/>
    </row>
    <row r="142" spans="1:8" ht="13" x14ac:dyDescent="0.15">
      <c r="A142" s="2">
        <v>45251.908738564816</v>
      </c>
      <c r="B142" s="1" t="s">
        <v>41</v>
      </c>
      <c r="C142" s="1" t="s">
        <v>21</v>
      </c>
      <c r="D142" s="5" t="s">
        <v>51</v>
      </c>
      <c r="E142" s="9" t="s">
        <v>43</v>
      </c>
      <c r="F142" s="7" t="s">
        <v>89</v>
      </c>
      <c r="G142" s="7"/>
      <c r="H142" s="7"/>
    </row>
    <row r="143" spans="1:8" ht="13" x14ac:dyDescent="0.15">
      <c r="A143" s="2">
        <v>45251.908907696758</v>
      </c>
      <c r="B143" s="1" t="s">
        <v>41</v>
      </c>
      <c r="C143" s="1" t="s">
        <v>21</v>
      </c>
      <c r="D143" s="17" t="s">
        <v>42</v>
      </c>
      <c r="E143" s="1" t="s">
        <v>35</v>
      </c>
      <c r="F143" s="5" t="s">
        <v>79</v>
      </c>
      <c r="G143" s="5"/>
      <c r="H143" s="5"/>
    </row>
    <row r="144" spans="1:8" ht="13" x14ac:dyDescent="0.15">
      <c r="A144" s="2">
        <v>45251.909170451385</v>
      </c>
      <c r="B144" s="1" t="s">
        <v>20</v>
      </c>
      <c r="C144" s="1" t="s">
        <v>56</v>
      </c>
      <c r="D144" s="5" t="s">
        <v>51</v>
      </c>
      <c r="E144" s="1" t="s">
        <v>35</v>
      </c>
      <c r="F144" s="5" t="s">
        <v>62</v>
      </c>
      <c r="G144" s="5"/>
      <c r="H144" s="5"/>
    </row>
    <row r="145" spans="1:8" ht="13" x14ac:dyDescent="0.15">
      <c r="A145" s="2">
        <v>45251.910125266208</v>
      </c>
      <c r="B145" s="1" t="s">
        <v>20</v>
      </c>
      <c r="C145" s="1" t="s">
        <v>21</v>
      </c>
      <c r="D145" s="17" t="s">
        <v>42</v>
      </c>
      <c r="E145" s="1" t="s">
        <v>58</v>
      </c>
      <c r="F145" s="5" t="s">
        <v>81</v>
      </c>
      <c r="G145" s="5"/>
      <c r="H145" s="5"/>
    </row>
    <row r="146" spans="1:8" ht="13" x14ac:dyDescent="0.15">
      <c r="A146" s="2">
        <v>45251.911031053241</v>
      </c>
      <c r="B146" s="1" t="s">
        <v>41</v>
      </c>
      <c r="C146" s="1" t="s">
        <v>21</v>
      </c>
      <c r="D146" s="5" t="s">
        <v>51</v>
      </c>
      <c r="E146" s="9" t="s">
        <v>43</v>
      </c>
      <c r="F146" s="5" t="s">
        <v>73</v>
      </c>
      <c r="G146" s="5"/>
      <c r="H146" s="5"/>
    </row>
    <row r="147" spans="1:8" ht="13" x14ac:dyDescent="0.15">
      <c r="A147" s="2">
        <v>45251.912558981479</v>
      </c>
      <c r="B147" s="1" t="s">
        <v>41</v>
      </c>
      <c r="C147" s="1" t="s">
        <v>72</v>
      </c>
      <c r="D147" s="1" t="s">
        <v>60</v>
      </c>
      <c r="E147" s="1" t="s">
        <v>48</v>
      </c>
      <c r="F147" s="1" t="s">
        <v>189</v>
      </c>
      <c r="G147" s="1"/>
      <c r="H147" s="1"/>
    </row>
    <row r="148" spans="1:8" ht="13" x14ac:dyDescent="0.15">
      <c r="A148" s="2">
        <v>45251.912693043982</v>
      </c>
      <c r="B148" s="1" t="s">
        <v>55</v>
      </c>
      <c r="C148" s="1" t="s">
        <v>72</v>
      </c>
      <c r="D148" s="1" t="s">
        <v>60</v>
      </c>
      <c r="E148" s="9" t="s">
        <v>198</v>
      </c>
      <c r="F148" s="5" t="s">
        <v>81</v>
      </c>
      <c r="G148" s="5"/>
      <c r="H148" s="5"/>
    </row>
    <row r="149" spans="1:8" ht="13" x14ac:dyDescent="0.15">
      <c r="A149" s="2">
        <v>45251.912693877312</v>
      </c>
      <c r="B149" s="1" t="s">
        <v>20</v>
      </c>
      <c r="C149" s="1" t="s">
        <v>21</v>
      </c>
      <c r="D149" s="5" t="s">
        <v>51</v>
      </c>
      <c r="E149" s="9" t="s">
        <v>83</v>
      </c>
      <c r="F149" s="7" t="s">
        <v>65</v>
      </c>
      <c r="G149" s="7"/>
      <c r="H149" s="7"/>
    </row>
    <row r="150" spans="1:8" ht="13" x14ac:dyDescent="0.15">
      <c r="A150" s="2">
        <v>45251.913088912042</v>
      </c>
      <c r="B150" s="1" t="s">
        <v>20</v>
      </c>
      <c r="C150" s="1" t="s">
        <v>56</v>
      </c>
      <c r="D150" s="5" t="s">
        <v>51</v>
      </c>
      <c r="E150" s="1" t="s">
        <v>48</v>
      </c>
      <c r="F150" s="5" t="s">
        <v>73</v>
      </c>
      <c r="G150" s="5"/>
      <c r="H150" s="5"/>
    </row>
    <row r="151" spans="1:8" ht="13" x14ac:dyDescent="0.15">
      <c r="A151" s="2">
        <v>45251.913173148147</v>
      </c>
      <c r="B151" s="1" t="s">
        <v>41</v>
      </c>
      <c r="C151" s="1" t="s">
        <v>21</v>
      </c>
      <c r="D151" s="17" t="s">
        <v>42</v>
      </c>
      <c r="E151" s="1" t="s">
        <v>35</v>
      </c>
      <c r="F151" s="5" t="s">
        <v>79</v>
      </c>
      <c r="G151" s="5"/>
      <c r="H151" s="5"/>
    </row>
    <row r="152" spans="1:8" ht="13" x14ac:dyDescent="0.15">
      <c r="A152" s="2">
        <v>45251.913237303241</v>
      </c>
      <c r="B152" s="1" t="s">
        <v>20</v>
      </c>
      <c r="C152" s="1" t="s">
        <v>21</v>
      </c>
      <c r="D152" s="5" t="s">
        <v>51</v>
      </c>
      <c r="E152" s="1" t="s">
        <v>48</v>
      </c>
      <c r="F152" s="5" t="s">
        <v>25</v>
      </c>
      <c r="G152" s="5"/>
      <c r="H152" s="5"/>
    </row>
    <row r="153" spans="1:8" ht="13" x14ac:dyDescent="0.15">
      <c r="A153" s="2">
        <v>45251.915312384255</v>
      </c>
      <c r="B153" s="1" t="s">
        <v>41</v>
      </c>
      <c r="C153" s="1" t="s">
        <v>56</v>
      </c>
      <c r="D153" s="5" t="s">
        <v>51</v>
      </c>
      <c r="E153" s="9" t="s">
        <v>43</v>
      </c>
      <c r="F153" s="5" t="s">
        <v>84</v>
      </c>
      <c r="G153" s="5"/>
      <c r="H153" s="5"/>
    </row>
    <row r="154" spans="1:8" ht="13" x14ac:dyDescent="0.15">
      <c r="A154" s="2">
        <v>45251.91691028935</v>
      </c>
      <c r="B154" s="1" t="s">
        <v>41</v>
      </c>
      <c r="C154" s="1" t="s">
        <v>21</v>
      </c>
      <c r="D154" s="5" t="s">
        <v>51</v>
      </c>
      <c r="E154" s="1" t="s">
        <v>35</v>
      </c>
      <c r="F154" s="3" t="s">
        <v>189</v>
      </c>
      <c r="G154" s="3"/>
      <c r="H154" s="3"/>
    </row>
    <row r="155" spans="1:8" ht="13" x14ac:dyDescent="0.15">
      <c r="A155" s="2">
        <v>45251.923194479168</v>
      </c>
      <c r="B155" s="1" t="s">
        <v>20</v>
      </c>
      <c r="C155" s="1" t="s">
        <v>72</v>
      </c>
      <c r="D155" s="18" t="s">
        <v>55</v>
      </c>
      <c r="E155" s="9" t="s">
        <v>43</v>
      </c>
      <c r="F155" s="5" t="s">
        <v>81</v>
      </c>
      <c r="G155" s="5"/>
      <c r="H155" s="5"/>
    </row>
    <row r="156" spans="1:8" ht="13" x14ac:dyDescent="0.15">
      <c r="A156" s="2">
        <v>45251.940109432871</v>
      </c>
      <c r="B156" s="1" t="s">
        <v>41</v>
      </c>
      <c r="C156" s="1" t="s">
        <v>21</v>
      </c>
      <c r="D156" s="5" t="s">
        <v>51</v>
      </c>
      <c r="E156" s="9" t="s">
        <v>43</v>
      </c>
      <c r="F156" s="5" t="s">
        <v>79</v>
      </c>
      <c r="G156" s="5"/>
      <c r="H156" s="5"/>
    </row>
    <row r="157" spans="1:8" ht="13" x14ac:dyDescent="0.15">
      <c r="A157" s="2">
        <v>45251.946196111108</v>
      </c>
      <c r="B157" s="1" t="s">
        <v>20</v>
      </c>
      <c r="C157" s="1" t="s">
        <v>56</v>
      </c>
      <c r="D157" s="5" t="s">
        <v>51</v>
      </c>
      <c r="E157" s="1" t="s">
        <v>35</v>
      </c>
      <c r="F157" s="3" t="s">
        <v>218</v>
      </c>
      <c r="G157" s="3"/>
      <c r="H157" s="3"/>
    </row>
    <row r="158" spans="1:8" ht="13" x14ac:dyDescent="0.15">
      <c r="A158" s="2">
        <v>45251.967312106484</v>
      </c>
      <c r="B158" s="1" t="s">
        <v>41</v>
      </c>
      <c r="C158" s="1" t="s">
        <v>21</v>
      </c>
      <c r="D158" s="5" t="s">
        <v>51</v>
      </c>
      <c r="E158" s="1" t="s">
        <v>48</v>
      </c>
      <c r="F158" s="5" t="s">
        <v>84</v>
      </c>
      <c r="G158" s="5"/>
      <c r="H158" s="5"/>
    </row>
    <row r="159" spans="1:8" ht="13" x14ac:dyDescent="0.15">
      <c r="A159" s="2">
        <v>45252.392325671295</v>
      </c>
      <c r="B159" s="1" t="s">
        <v>20</v>
      </c>
      <c r="C159" s="1" t="s">
        <v>21</v>
      </c>
      <c r="D159" s="17" t="s">
        <v>42</v>
      </c>
      <c r="E159" s="1" t="s">
        <v>58</v>
      </c>
      <c r="F159" s="7" t="s">
        <v>141</v>
      </c>
      <c r="G159" s="7"/>
      <c r="H159" s="7"/>
    </row>
    <row r="160" spans="1:8" ht="13" x14ac:dyDescent="0.15">
      <c r="A160" s="2">
        <v>45252.445663009261</v>
      </c>
      <c r="B160" s="1" t="s">
        <v>41</v>
      </c>
      <c r="C160" s="1" t="s">
        <v>56</v>
      </c>
      <c r="D160" s="5" t="s">
        <v>51</v>
      </c>
      <c r="E160" s="9" t="s">
        <v>43</v>
      </c>
      <c r="F160" s="5" t="s">
        <v>81</v>
      </c>
      <c r="G160" s="5"/>
      <c r="H160" s="5"/>
    </row>
    <row r="161" spans="1:8" ht="13" x14ac:dyDescent="0.15">
      <c r="A161" s="2">
        <v>45252.447723391204</v>
      </c>
      <c r="B161" s="1" t="s">
        <v>20</v>
      </c>
      <c r="C161" s="1" t="s">
        <v>75</v>
      </c>
      <c r="D161" s="1" t="s">
        <v>60</v>
      </c>
      <c r="E161" s="1" t="s">
        <v>48</v>
      </c>
      <c r="F161" s="5" t="s">
        <v>73</v>
      </c>
      <c r="G161" s="5"/>
      <c r="H161" s="5"/>
    </row>
    <row r="162" spans="1:8" ht="13" x14ac:dyDescent="0.15">
      <c r="A162" s="2">
        <v>45252.600042418984</v>
      </c>
      <c r="B162" s="1" t="s">
        <v>41</v>
      </c>
      <c r="C162" s="1" t="s">
        <v>72</v>
      </c>
      <c r="D162" s="1" t="s">
        <v>60</v>
      </c>
      <c r="E162" s="1" t="s">
        <v>35</v>
      </c>
      <c r="F162" s="5" t="s">
        <v>73</v>
      </c>
      <c r="G162" s="5"/>
      <c r="H162" s="5"/>
    </row>
    <row r="163" spans="1:8" ht="13" x14ac:dyDescent="0.15">
      <c r="A163" s="2">
        <v>45252.623505532407</v>
      </c>
      <c r="B163" s="1" t="s">
        <v>41</v>
      </c>
      <c r="C163" s="1" t="s">
        <v>77</v>
      </c>
      <c r="D163" s="1" t="s">
        <v>60</v>
      </c>
      <c r="E163" s="1" t="s">
        <v>35</v>
      </c>
      <c r="F163" s="5" t="s">
        <v>84</v>
      </c>
      <c r="G163" s="5"/>
      <c r="H163" s="5"/>
    </row>
    <row r="164" spans="1:8" ht="13" x14ac:dyDescent="0.15">
      <c r="A164" s="2">
        <v>45252.64937378472</v>
      </c>
      <c r="B164" s="1" t="s">
        <v>41</v>
      </c>
      <c r="C164" s="1" t="s">
        <v>72</v>
      </c>
      <c r="D164" s="1" t="s">
        <v>60</v>
      </c>
      <c r="E164" s="1" t="s">
        <v>35</v>
      </c>
      <c r="F164" s="5" t="s">
        <v>73</v>
      </c>
      <c r="G164" s="5"/>
      <c r="H164" s="5"/>
    </row>
    <row r="165" spans="1:8" ht="13" x14ac:dyDescent="0.15">
      <c r="A165" s="2">
        <v>45252.829636319446</v>
      </c>
      <c r="B165" s="1" t="s">
        <v>20</v>
      </c>
      <c r="C165" s="1" t="s">
        <v>72</v>
      </c>
      <c r="D165" s="1" t="s">
        <v>60</v>
      </c>
      <c r="E165" s="1" t="s">
        <v>48</v>
      </c>
      <c r="F165" s="5" t="s">
        <v>73</v>
      </c>
      <c r="G165" s="5"/>
      <c r="H165" s="5"/>
    </row>
    <row r="166" spans="1:8" ht="13" x14ac:dyDescent="0.15">
      <c r="A166" s="2">
        <v>45254.714148171297</v>
      </c>
      <c r="B166" s="1" t="s">
        <v>41</v>
      </c>
      <c r="C166" s="1" t="s">
        <v>21</v>
      </c>
      <c r="D166" s="1" t="s">
        <v>60</v>
      </c>
      <c r="E166" s="1" t="s">
        <v>35</v>
      </c>
      <c r="F166" s="5" t="s">
        <v>93</v>
      </c>
      <c r="G166" s="5"/>
      <c r="H166" s="5"/>
    </row>
    <row r="167" spans="1:8" ht="13" x14ac:dyDescent="0.15">
      <c r="A167" s="2">
        <v>45254.71734614583</v>
      </c>
      <c r="B167" s="1" t="s">
        <v>41</v>
      </c>
      <c r="C167" s="1" t="s">
        <v>21</v>
      </c>
      <c r="D167" s="17" t="s">
        <v>42</v>
      </c>
      <c r="E167" s="1" t="s">
        <v>35</v>
      </c>
      <c r="F167" s="5" t="s">
        <v>93</v>
      </c>
      <c r="G167" s="5"/>
      <c r="H167" s="5"/>
    </row>
    <row r="168" spans="1:8" ht="13" x14ac:dyDescent="0.15">
      <c r="A168" s="2">
        <v>45255.686530439816</v>
      </c>
      <c r="B168" s="1" t="s">
        <v>41</v>
      </c>
      <c r="C168" s="1" t="s">
        <v>21</v>
      </c>
      <c r="D168" s="17" t="s">
        <v>42</v>
      </c>
      <c r="E168" s="10" t="s">
        <v>83</v>
      </c>
      <c r="F168" s="5" t="s">
        <v>93</v>
      </c>
      <c r="G168" s="5"/>
      <c r="H168" s="5"/>
    </row>
  </sheetData>
  <mergeCells count="2">
    <mergeCell ref="M38:O51"/>
    <mergeCell ref="M10:O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730B-4A5D-EE44-B37E-C9009DBBDB75}">
  <sheetPr>
    <outlinePr summaryBelow="0" summaryRight="0"/>
  </sheetPr>
  <dimension ref="A1:P168"/>
  <sheetViews>
    <sheetView tabSelected="1" topLeftCell="H1" workbookViewId="0">
      <pane ySplit="1" topLeftCell="A22" activePane="bottomLeft" state="frozen"/>
      <selection pane="bottomLeft" activeCell="N36" sqref="N36:P49"/>
    </sheetView>
  </sheetViews>
  <sheetFormatPr baseColWidth="10" defaultColWidth="12.6640625" defaultRowHeight="15.75" customHeight="1" x14ac:dyDescent="0.15"/>
  <cols>
    <col min="1" max="6" width="18.83203125" customWidth="1"/>
    <col min="7" max="7" width="39" customWidth="1"/>
    <col min="8" max="8" width="34.5" customWidth="1"/>
    <col min="9" max="9" width="13.33203125" customWidth="1"/>
    <col min="10" max="10" width="12.6640625" customWidth="1"/>
    <col min="11" max="11" width="34.6640625" customWidth="1"/>
    <col min="12" max="12" width="38.83203125" customWidth="1"/>
    <col min="13" max="13" width="31.1640625" customWidth="1"/>
    <col min="14" max="15" width="18.83203125" customWidth="1"/>
  </cols>
  <sheetData>
    <row r="1" spans="1:16" ht="15.75" customHeight="1" x14ac:dyDescent="0.15">
      <c r="A1" s="1" t="s">
        <v>0</v>
      </c>
      <c r="B1" s="1" t="s">
        <v>1</v>
      </c>
      <c r="C1" s="1" t="s">
        <v>2</v>
      </c>
      <c r="D1" s="1" t="s">
        <v>3</v>
      </c>
      <c r="E1" s="1" t="s">
        <v>11</v>
      </c>
      <c r="F1" s="1" t="s">
        <v>10</v>
      </c>
      <c r="G1" s="1" t="s">
        <v>12</v>
      </c>
      <c r="H1" s="1" t="s">
        <v>13</v>
      </c>
      <c r="I1" s="1"/>
      <c r="J1" s="1"/>
    </row>
    <row r="2" spans="1:16" ht="15.75" customHeight="1" x14ac:dyDescent="0.15">
      <c r="A2" s="2">
        <v>45249.684851284721</v>
      </c>
      <c r="B2" s="1" t="s">
        <v>20</v>
      </c>
      <c r="C2" s="1" t="s">
        <v>21</v>
      </c>
      <c r="D2" s="1" t="s">
        <v>22</v>
      </c>
      <c r="E2" s="11" t="s">
        <v>29</v>
      </c>
      <c r="G2" s="11" t="s">
        <v>30</v>
      </c>
      <c r="H2" s="1" t="s">
        <v>31</v>
      </c>
      <c r="I2" s="1"/>
      <c r="J2" s="1"/>
    </row>
    <row r="3" spans="1:16" ht="15.75" customHeight="1" x14ac:dyDescent="0.15">
      <c r="A3" s="2">
        <v>45249.691583240739</v>
      </c>
      <c r="B3" s="1" t="s">
        <v>20</v>
      </c>
      <c r="C3" s="1" t="s">
        <v>21</v>
      </c>
      <c r="D3" s="1" t="s">
        <v>22</v>
      </c>
      <c r="E3" s="11" t="s">
        <v>29</v>
      </c>
      <c r="G3" s="1" t="s">
        <v>38</v>
      </c>
      <c r="H3" s="1" t="s">
        <v>39</v>
      </c>
      <c r="I3" s="1"/>
      <c r="J3" s="1"/>
    </row>
    <row r="4" spans="1:16" ht="15.75" customHeight="1" x14ac:dyDescent="0.15">
      <c r="A4" s="2">
        <v>45249.8512237963</v>
      </c>
      <c r="B4" s="1" t="s">
        <v>41</v>
      </c>
      <c r="C4" s="1" t="s">
        <v>21</v>
      </c>
      <c r="D4" s="1" t="s">
        <v>42</v>
      </c>
      <c r="E4" s="11" t="s">
        <v>29</v>
      </c>
      <c r="G4" s="1" t="s">
        <v>38</v>
      </c>
      <c r="H4" s="1" t="s">
        <v>46</v>
      </c>
      <c r="I4" s="1"/>
      <c r="J4" s="1"/>
      <c r="L4" s="29" t="s">
        <v>233</v>
      </c>
      <c r="M4" s="29" t="s">
        <v>234</v>
      </c>
    </row>
    <row r="5" spans="1:16" ht="15.75" customHeight="1" x14ac:dyDescent="0.15">
      <c r="A5" s="2"/>
      <c r="B5" s="1"/>
      <c r="C5" s="1"/>
      <c r="D5" s="1"/>
      <c r="E5" s="11"/>
      <c r="G5" s="1"/>
      <c r="H5" s="1"/>
      <c r="I5" s="1"/>
      <c r="J5" s="1"/>
      <c r="K5" s="24" t="s">
        <v>225</v>
      </c>
      <c r="L5" s="35">
        <f>36/44</f>
        <v>0.81818181818181823</v>
      </c>
      <c r="M5" s="35">
        <f>8/44</f>
        <v>0.18181818181818182</v>
      </c>
    </row>
    <row r="6" spans="1:16" ht="15.75" customHeight="1" x14ac:dyDescent="0.15">
      <c r="A6" s="2">
        <v>45249.879953842596</v>
      </c>
      <c r="B6" s="1" t="s">
        <v>41</v>
      </c>
      <c r="C6" s="1" t="s">
        <v>21</v>
      </c>
      <c r="D6" s="1" t="s">
        <v>42</v>
      </c>
      <c r="E6" s="11" t="s">
        <v>29</v>
      </c>
      <c r="G6" s="1" t="s">
        <v>38</v>
      </c>
      <c r="H6" s="1" t="s">
        <v>39</v>
      </c>
      <c r="I6" s="1"/>
      <c r="J6" s="1"/>
      <c r="K6" s="25" t="s">
        <v>222</v>
      </c>
      <c r="L6" s="37">
        <f>74/91</f>
        <v>0.81318681318681318</v>
      </c>
      <c r="M6" s="37">
        <f>17/91</f>
        <v>0.18681318681318682</v>
      </c>
    </row>
    <row r="7" spans="1:16" ht="15.75" customHeight="1" x14ac:dyDescent="0.15">
      <c r="A7" s="2">
        <v>45249.881849537036</v>
      </c>
      <c r="B7" s="1" t="s">
        <v>41</v>
      </c>
      <c r="C7" s="1" t="s">
        <v>21</v>
      </c>
      <c r="D7" s="1" t="s">
        <v>51</v>
      </c>
      <c r="E7" s="11" t="s">
        <v>29</v>
      </c>
      <c r="G7" s="1" t="s">
        <v>38</v>
      </c>
      <c r="H7" s="1" t="s">
        <v>46</v>
      </c>
      <c r="I7" s="1"/>
      <c r="J7" s="1"/>
      <c r="K7" s="25" t="s">
        <v>241</v>
      </c>
      <c r="L7" s="37">
        <f>23/29</f>
        <v>0.7931034482758621</v>
      </c>
      <c r="M7" s="37">
        <f>6/29</f>
        <v>0.20689655172413793</v>
      </c>
    </row>
    <row r="8" spans="1:16" ht="15.75" customHeight="1" x14ac:dyDescent="0.15">
      <c r="A8" s="2">
        <v>45249.883503969904</v>
      </c>
      <c r="B8" s="1" t="s">
        <v>55</v>
      </c>
      <c r="C8" s="1" t="s">
        <v>56</v>
      </c>
      <c r="D8" s="1" t="s">
        <v>55</v>
      </c>
      <c r="E8" s="11" t="s">
        <v>29</v>
      </c>
      <c r="G8" s="1" t="s">
        <v>38</v>
      </c>
      <c r="H8" s="1" t="s">
        <v>46</v>
      </c>
      <c r="I8" s="1"/>
      <c r="J8" s="1"/>
      <c r="K8" s="24" t="s">
        <v>226</v>
      </c>
      <c r="L8" s="4">
        <v>133</v>
      </c>
      <c r="M8" s="4">
        <v>31</v>
      </c>
    </row>
    <row r="9" spans="1:16" ht="15.75" customHeight="1" x14ac:dyDescent="0.15">
      <c r="A9" s="2">
        <v>45249.885399872685</v>
      </c>
      <c r="B9" s="1" t="s">
        <v>20</v>
      </c>
      <c r="C9" s="1" t="s">
        <v>21</v>
      </c>
      <c r="D9" s="1" t="s">
        <v>60</v>
      </c>
      <c r="E9" s="11" t="s">
        <v>29</v>
      </c>
      <c r="G9" s="11" t="s">
        <v>30</v>
      </c>
      <c r="H9" s="1" t="s">
        <v>31</v>
      </c>
      <c r="I9" s="1"/>
      <c r="J9" s="1"/>
    </row>
    <row r="10" spans="1:16" ht="15.75" customHeight="1" x14ac:dyDescent="0.15">
      <c r="A10" s="2">
        <v>45249.897932569445</v>
      </c>
      <c r="B10" s="1" t="s">
        <v>20</v>
      </c>
      <c r="C10" s="1" t="s">
        <v>21</v>
      </c>
      <c r="D10" s="1" t="s">
        <v>51</v>
      </c>
      <c r="E10" s="11" t="s">
        <v>29</v>
      </c>
      <c r="G10" s="7" t="s">
        <v>66</v>
      </c>
      <c r="H10" s="1" t="s">
        <v>46</v>
      </c>
      <c r="I10" s="1"/>
      <c r="J10" s="1"/>
    </row>
    <row r="11" spans="1:16" ht="15.75" customHeight="1" x14ac:dyDescent="0.15">
      <c r="A11" s="2">
        <v>45250.468901736109</v>
      </c>
      <c r="B11" s="1" t="s">
        <v>41</v>
      </c>
      <c r="C11" s="1" t="s">
        <v>21</v>
      </c>
      <c r="D11" s="1" t="s">
        <v>60</v>
      </c>
      <c r="E11" s="11" t="s">
        <v>29</v>
      </c>
      <c r="G11" s="11" t="s">
        <v>30</v>
      </c>
      <c r="H11" s="1" t="s">
        <v>71</v>
      </c>
      <c r="I11" s="1"/>
      <c r="J11" s="1"/>
      <c r="N11" s="41" t="s">
        <v>237</v>
      </c>
      <c r="O11" s="42"/>
      <c r="P11" s="42"/>
    </row>
    <row r="12" spans="1:16" ht="15.75" customHeight="1" x14ac:dyDescent="0.15">
      <c r="A12" s="2">
        <v>45251.397831516202</v>
      </c>
      <c r="B12" s="1" t="s">
        <v>41</v>
      </c>
      <c r="C12" s="1" t="s">
        <v>72</v>
      </c>
      <c r="D12" s="1" t="s">
        <v>60</v>
      </c>
      <c r="E12" s="11" t="s">
        <v>29</v>
      </c>
      <c r="G12" s="11" t="s">
        <v>30</v>
      </c>
      <c r="H12" s="1" t="s">
        <v>46</v>
      </c>
      <c r="I12" s="1"/>
      <c r="J12" s="1"/>
      <c r="N12" s="42"/>
      <c r="O12" s="42"/>
      <c r="P12" s="42"/>
    </row>
    <row r="13" spans="1:16" ht="15.75" customHeight="1" x14ac:dyDescent="0.15">
      <c r="A13" s="2">
        <v>45251.399566782406</v>
      </c>
      <c r="B13" s="1" t="s">
        <v>41</v>
      </c>
      <c r="C13" s="1" t="s">
        <v>75</v>
      </c>
      <c r="D13" s="1" t="s">
        <v>60</v>
      </c>
      <c r="E13" s="11" t="s">
        <v>29</v>
      </c>
      <c r="G13" s="11" t="s">
        <v>30</v>
      </c>
      <c r="H13" s="1" t="s">
        <v>31</v>
      </c>
      <c r="I13" s="1"/>
      <c r="J13" s="1"/>
      <c r="N13" s="42"/>
      <c r="O13" s="42"/>
      <c r="P13" s="42"/>
    </row>
    <row r="14" spans="1:16" ht="15.75" customHeight="1" x14ac:dyDescent="0.15">
      <c r="A14" s="2">
        <v>45251.401892511574</v>
      </c>
      <c r="B14" s="1" t="s">
        <v>41</v>
      </c>
      <c r="C14" s="1" t="s">
        <v>77</v>
      </c>
      <c r="D14" s="1" t="s">
        <v>60</v>
      </c>
      <c r="E14" s="11" t="s">
        <v>29</v>
      </c>
      <c r="G14" s="11" t="s">
        <v>30</v>
      </c>
      <c r="H14" s="1" t="s">
        <v>46</v>
      </c>
      <c r="I14" s="1"/>
      <c r="J14" s="1"/>
      <c r="N14" s="42"/>
      <c r="O14" s="42"/>
      <c r="P14" s="42"/>
    </row>
    <row r="15" spans="1:16" ht="15.75" customHeight="1" x14ac:dyDescent="0.15">
      <c r="A15" s="2">
        <v>45251.404358298612</v>
      </c>
      <c r="B15" s="1" t="s">
        <v>20</v>
      </c>
      <c r="C15" s="1" t="s">
        <v>72</v>
      </c>
      <c r="D15" s="1" t="s">
        <v>60</v>
      </c>
      <c r="E15" s="1" t="s">
        <v>27</v>
      </c>
      <c r="F15" s="1" t="s">
        <v>80</v>
      </c>
      <c r="G15" s="1" t="s">
        <v>38</v>
      </c>
      <c r="H15" s="1" t="s">
        <v>31</v>
      </c>
      <c r="I15" s="1"/>
      <c r="J15" s="1"/>
      <c r="N15" s="42"/>
      <c r="O15" s="42"/>
      <c r="P15" s="42"/>
    </row>
    <row r="16" spans="1:16" ht="15.75" customHeight="1" x14ac:dyDescent="0.15">
      <c r="A16" s="2">
        <v>45251.505007673608</v>
      </c>
      <c r="B16" s="1" t="s">
        <v>20</v>
      </c>
      <c r="C16" s="1" t="s">
        <v>21</v>
      </c>
      <c r="D16" s="1" t="s">
        <v>42</v>
      </c>
      <c r="E16" s="11" t="s">
        <v>29</v>
      </c>
      <c r="G16" s="1" t="s">
        <v>38</v>
      </c>
      <c r="H16" s="1" t="s">
        <v>46</v>
      </c>
      <c r="I16" s="1"/>
      <c r="J16" s="1"/>
      <c r="N16" s="42"/>
      <c r="O16" s="42"/>
      <c r="P16" s="42"/>
    </row>
    <row r="17" spans="1:16" ht="15.75" customHeight="1" x14ac:dyDescent="0.15">
      <c r="A17" s="2">
        <v>45251.506297604166</v>
      </c>
      <c r="B17" s="1" t="s">
        <v>20</v>
      </c>
      <c r="C17" s="1" t="s">
        <v>21</v>
      </c>
      <c r="D17" s="1" t="s">
        <v>60</v>
      </c>
      <c r="E17" s="11" t="s">
        <v>29</v>
      </c>
      <c r="G17" s="7" t="s">
        <v>66</v>
      </c>
      <c r="H17" s="1" t="s">
        <v>71</v>
      </c>
      <c r="I17" s="1"/>
      <c r="J17" s="1"/>
      <c r="N17" s="42"/>
      <c r="O17" s="42"/>
      <c r="P17" s="42"/>
    </row>
    <row r="18" spans="1:16" ht="15.75" customHeight="1" x14ac:dyDescent="0.15">
      <c r="A18" s="2">
        <v>45251.507252604162</v>
      </c>
      <c r="B18" s="1" t="s">
        <v>41</v>
      </c>
      <c r="C18" s="1" t="s">
        <v>21</v>
      </c>
      <c r="D18" s="1" t="s">
        <v>42</v>
      </c>
      <c r="E18" s="1" t="s">
        <v>27</v>
      </c>
      <c r="F18" s="1" t="s">
        <v>85</v>
      </c>
      <c r="G18" s="1" t="s">
        <v>38</v>
      </c>
      <c r="H18" s="1" t="s">
        <v>39</v>
      </c>
      <c r="I18" s="1"/>
      <c r="J18" s="1"/>
      <c r="N18" s="42"/>
      <c r="O18" s="42"/>
      <c r="P18" s="42"/>
    </row>
    <row r="19" spans="1:16" ht="15.75" customHeight="1" x14ac:dyDescent="0.15">
      <c r="A19" s="2">
        <v>45251.509139189817</v>
      </c>
      <c r="B19" s="1" t="s">
        <v>41</v>
      </c>
      <c r="C19" s="1" t="s">
        <v>21</v>
      </c>
      <c r="D19" s="1" t="s">
        <v>42</v>
      </c>
      <c r="E19" s="1" t="s">
        <v>27</v>
      </c>
      <c r="F19" s="1" t="s">
        <v>87</v>
      </c>
      <c r="G19" s="11" t="s">
        <v>30</v>
      </c>
      <c r="H19" s="1" t="s">
        <v>71</v>
      </c>
      <c r="I19" s="1"/>
      <c r="J19" s="1"/>
      <c r="N19" s="42"/>
      <c r="O19" s="42"/>
      <c r="P19" s="42"/>
    </row>
    <row r="20" spans="1:16" ht="15.75" customHeight="1" x14ac:dyDescent="0.15">
      <c r="A20" s="2">
        <v>45251.510488784726</v>
      </c>
      <c r="B20" s="1" t="s">
        <v>20</v>
      </c>
      <c r="C20" s="1" t="s">
        <v>21</v>
      </c>
      <c r="D20" s="1" t="s">
        <v>42</v>
      </c>
      <c r="E20" s="1" t="s">
        <v>27</v>
      </c>
      <c r="F20" s="1" t="s">
        <v>88</v>
      </c>
      <c r="G20" s="1" t="s">
        <v>38</v>
      </c>
      <c r="H20" s="1" t="s">
        <v>71</v>
      </c>
      <c r="I20" s="1"/>
      <c r="J20" s="1"/>
      <c r="N20" s="42"/>
      <c r="O20" s="42"/>
      <c r="P20" s="42"/>
    </row>
    <row r="21" spans="1:16" ht="15.75" customHeight="1" x14ac:dyDescent="0.15">
      <c r="A21" s="2">
        <v>45251.512181435188</v>
      </c>
      <c r="B21" s="1" t="s">
        <v>41</v>
      </c>
      <c r="C21" s="1" t="s">
        <v>21</v>
      </c>
      <c r="D21" s="1" t="s">
        <v>42</v>
      </c>
      <c r="E21" s="1" t="s">
        <v>27</v>
      </c>
      <c r="F21" s="1" t="s">
        <v>91</v>
      </c>
      <c r="G21" s="1" t="s">
        <v>38</v>
      </c>
      <c r="H21" s="1" t="s">
        <v>92</v>
      </c>
      <c r="I21" s="1"/>
      <c r="J21" s="1"/>
      <c r="N21" s="42"/>
      <c r="O21" s="42"/>
      <c r="P21" s="42"/>
    </row>
    <row r="22" spans="1:16" ht="15.75" customHeight="1" x14ac:dyDescent="0.15">
      <c r="A22" s="2">
        <v>45251.515609791662</v>
      </c>
      <c r="B22" s="1" t="s">
        <v>41</v>
      </c>
      <c r="C22" s="1" t="s">
        <v>21</v>
      </c>
      <c r="D22" s="1" t="s">
        <v>42</v>
      </c>
      <c r="E22" s="11" t="s">
        <v>29</v>
      </c>
      <c r="G22" s="11" t="s">
        <v>30</v>
      </c>
      <c r="H22" s="1" t="s">
        <v>39</v>
      </c>
      <c r="I22" s="1"/>
      <c r="J22" s="1"/>
      <c r="N22" s="42"/>
      <c r="O22" s="42"/>
      <c r="P22" s="42"/>
    </row>
    <row r="23" spans="1:16" ht="15.75" customHeight="1" x14ac:dyDescent="0.15">
      <c r="A23" s="2">
        <v>45251.515700150463</v>
      </c>
      <c r="B23" s="1" t="s">
        <v>41</v>
      </c>
      <c r="C23" s="1" t="s">
        <v>21</v>
      </c>
      <c r="D23" s="1" t="s">
        <v>42</v>
      </c>
      <c r="E23" s="11" t="s">
        <v>29</v>
      </c>
      <c r="G23" s="1" t="s">
        <v>38</v>
      </c>
      <c r="H23" s="1" t="s">
        <v>31</v>
      </c>
      <c r="I23" s="1"/>
      <c r="J23" s="1"/>
    </row>
    <row r="24" spans="1:16" ht="15.75" customHeight="1" x14ac:dyDescent="0.15">
      <c r="A24" s="2">
        <v>45251.518362789357</v>
      </c>
      <c r="B24" s="1" t="s">
        <v>20</v>
      </c>
      <c r="C24" s="1" t="s">
        <v>21</v>
      </c>
      <c r="D24" s="1" t="s">
        <v>42</v>
      </c>
      <c r="E24" s="1" t="s">
        <v>27</v>
      </c>
      <c r="F24" s="1" t="s">
        <v>98</v>
      </c>
      <c r="G24" s="1" t="s">
        <v>38</v>
      </c>
      <c r="H24" s="1" t="s">
        <v>31</v>
      </c>
      <c r="I24" s="1"/>
      <c r="J24" s="1"/>
    </row>
    <row r="25" spans="1:16" ht="15.75" customHeight="1" x14ac:dyDescent="0.15">
      <c r="A25" s="2">
        <v>45251.518999953703</v>
      </c>
      <c r="B25" s="1" t="s">
        <v>41</v>
      </c>
      <c r="C25" s="1" t="s">
        <v>21</v>
      </c>
      <c r="D25" s="1" t="s">
        <v>42</v>
      </c>
      <c r="E25" s="11" t="s">
        <v>29</v>
      </c>
      <c r="G25" s="1" t="s">
        <v>38</v>
      </c>
      <c r="H25" s="1" t="s">
        <v>101</v>
      </c>
      <c r="I25" s="1"/>
      <c r="J25" s="1"/>
    </row>
    <row r="26" spans="1:16" ht="15.75" customHeight="1" x14ac:dyDescent="0.15">
      <c r="A26" s="2">
        <v>45251.519056990743</v>
      </c>
      <c r="B26" s="1" t="s">
        <v>20</v>
      </c>
      <c r="C26" s="1" t="s">
        <v>21</v>
      </c>
      <c r="D26" s="1" t="s">
        <v>42</v>
      </c>
      <c r="E26" s="11" t="s">
        <v>29</v>
      </c>
      <c r="G26" s="7" t="s">
        <v>66</v>
      </c>
      <c r="H26" s="1" t="s">
        <v>31</v>
      </c>
      <c r="I26" s="1"/>
      <c r="J26" s="1"/>
    </row>
    <row r="27" spans="1:16" ht="15.75" customHeight="1" x14ac:dyDescent="0.15">
      <c r="A27" s="2">
        <v>45251.520263055558</v>
      </c>
      <c r="B27" s="1" t="s">
        <v>41</v>
      </c>
      <c r="C27" s="1" t="s">
        <v>21</v>
      </c>
      <c r="D27" s="1" t="s">
        <v>51</v>
      </c>
      <c r="E27" s="11" t="s">
        <v>29</v>
      </c>
      <c r="G27" s="1" t="s">
        <v>38</v>
      </c>
      <c r="H27" s="1" t="s">
        <v>71</v>
      </c>
      <c r="I27" s="1"/>
      <c r="J27" s="1"/>
    </row>
    <row r="28" spans="1:16" ht="15.75" customHeight="1" x14ac:dyDescent="0.15">
      <c r="A28" s="2">
        <v>45251.522630335647</v>
      </c>
      <c r="B28" s="1" t="s">
        <v>41</v>
      </c>
      <c r="C28" s="1" t="s">
        <v>21</v>
      </c>
      <c r="D28" s="1" t="s">
        <v>42</v>
      </c>
      <c r="E28" s="11" t="s">
        <v>29</v>
      </c>
      <c r="G28" s="11" t="s">
        <v>30</v>
      </c>
      <c r="H28" s="1" t="s">
        <v>39</v>
      </c>
      <c r="I28" s="1"/>
      <c r="J28" s="1"/>
      <c r="K28" s="29" t="s">
        <v>229</v>
      </c>
      <c r="L28" s="29" t="s">
        <v>230</v>
      </c>
      <c r="M28" s="29" t="s">
        <v>231</v>
      </c>
      <c r="N28" s="3"/>
    </row>
    <row r="29" spans="1:16" ht="15.75" customHeight="1" x14ac:dyDescent="0.15">
      <c r="A29" s="2"/>
      <c r="B29" s="1"/>
      <c r="C29" s="1"/>
      <c r="D29" s="1"/>
      <c r="E29" s="11"/>
      <c r="G29" s="11"/>
      <c r="H29" s="1"/>
      <c r="I29" s="1"/>
      <c r="J29" s="30" t="s">
        <v>225</v>
      </c>
      <c r="K29" s="37">
        <f>11/41</f>
        <v>0.26829268292682928</v>
      </c>
      <c r="L29" s="34">
        <f>23/41</f>
        <v>0.56097560975609762</v>
      </c>
      <c r="M29" s="37">
        <f>7/41</f>
        <v>0.17073170731707318</v>
      </c>
      <c r="N29" s="3"/>
    </row>
    <row r="30" spans="1:16" ht="15.75" customHeight="1" x14ac:dyDescent="0.15">
      <c r="A30" s="2">
        <v>45251.523428912042</v>
      </c>
      <c r="B30" s="1" t="s">
        <v>20</v>
      </c>
      <c r="C30" s="1" t="s">
        <v>21</v>
      </c>
      <c r="D30" s="1" t="s">
        <v>55</v>
      </c>
      <c r="E30" s="11" t="s">
        <v>29</v>
      </c>
      <c r="G30" s="1" t="s">
        <v>38</v>
      </c>
      <c r="H30" s="1" t="s">
        <v>46</v>
      </c>
      <c r="I30" s="1"/>
      <c r="J30" s="31" t="s">
        <v>222</v>
      </c>
      <c r="K30" s="37">
        <f>30/94</f>
        <v>0.31914893617021278</v>
      </c>
      <c r="L30" s="37">
        <f>48/94</f>
        <v>0.51063829787234039</v>
      </c>
      <c r="M30" s="38">
        <f>16/94</f>
        <v>0.1702127659574468</v>
      </c>
    </row>
    <row r="31" spans="1:16" ht="15.75" customHeight="1" x14ac:dyDescent="0.15">
      <c r="A31" s="2">
        <v>45251.523980266204</v>
      </c>
      <c r="B31" s="1" t="s">
        <v>41</v>
      </c>
      <c r="C31" s="1" t="s">
        <v>21</v>
      </c>
      <c r="D31" s="1" t="s">
        <v>42</v>
      </c>
      <c r="E31" s="11" t="s">
        <v>29</v>
      </c>
      <c r="G31" s="1" t="s">
        <v>38</v>
      </c>
      <c r="H31" s="1" t="s">
        <v>46</v>
      </c>
      <c r="I31" s="1"/>
      <c r="J31" s="31" t="s">
        <v>241</v>
      </c>
      <c r="K31" s="38">
        <f>9/30</f>
        <v>0.3</v>
      </c>
      <c r="L31" s="37">
        <f>17/30</f>
        <v>0.56666666666666665</v>
      </c>
      <c r="M31" s="37">
        <f>4/30</f>
        <v>0.13333333333333333</v>
      </c>
    </row>
    <row r="32" spans="1:16" ht="15.75" customHeight="1" x14ac:dyDescent="0.15">
      <c r="A32" s="2">
        <v>45251.52402783565</v>
      </c>
      <c r="B32" s="1" t="s">
        <v>41</v>
      </c>
      <c r="C32" s="1" t="s">
        <v>21</v>
      </c>
      <c r="D32" s="1" t="s">
        <v>60</v>
      </c>
      <c r="E32" s="11" t="s">
        <v>29</v>
      </c>
      <c r="G32" s="11" t="s">
        <v>30</v>
      </c>
      <c r="H32" s="1" t="s">
        <v>71</v>
      </c>
      <c r="I32" s="1"/>
      <c r="J32" s="24" t="s">
        <v>226</v>
      </c>
      <c r="K32" s="4">
        <v>50</v>
      </c>
      <c r="L32" s="4">
        <v>88</v>
      </c>
      <c r="M32" s="4">
        <v>27</v>
      </c>
    </row>
    <row r="33" spans="1:16" ht="15.75" customHeight="1" x14ac:dyDescent="0.15">
      <c r="A33" s="2">
        <v>45251.528185972224</v>
      </c>
      <c r="B33" s="1" t="s">
        <v>41</v>
      </c>
      <c r="C33" s="1" t="s">
        <v>21</v>
      </c>
      <c r="D33" s="1" t="s">
        <v>42</v>
      </c>
      <c r="E33" s="11" t="s">
        <v>29</v>
      </c>
      <c r="G33" s="1" t="s">
        <v>38</v>
      </c>
      <c r="H33" s="1" t="s">
        <v>46</v>
      </c>
      <c r="I33" s="1"/>
      <c r="J33" s="1"/>
    </row>
    <row r="34" spans="1:16" ht="15.75" customHeight="1" x14ac:dyDescent="0.15">
      <c r="A34" s="2">
        <v>45251.52832420139</v>
      </c>
      <c r="B34" s="1" t="s">
        <v>41</v>
      </c>
      <c r="C34" s="1" t="s">
        <v>21</v>
      </c>
      <c r="D34" s="1" t="s">
        <v>42</v>
      </c>
      <c r="E34" s="1" t="s">
        <v>27</v>
      </c>
      <c r="F34" s="1" t="s">
        <v>105</v>
      </c>
      <c r="G34" s="11" t="s">
        <v>30</v>
      </c>
      <c r="H34" s="1" t="s">
        <v>46</v>
      </c>
      <c r="I34" s="1"/>
      <c r="J34" s="1"/>
    </row>
    <row r="35" spans="1:16" ht="15.75" customHeight="1" x14ac:dyDescent="0.15">
      <c r="A35" s="2">
        <v>45251.528365509264</v>
      </c>
      <c r="B35" s="1" t="s">
        <v>41</v>
      </c>
      <c r="C35" s="1" t="s">
        <v>21</v>
      </c>
      <c r="D35" s="1" t="s">
        <v>42</v>
      </c>
      <c r="E35" s="11" t="s">
        <v>29</v>
      </c>
      <c r="G35" s="1" t="s">
        <v>38</v>
      </c>
      <c r="H35" s="1" t="s">
        <v>106</v>
      </c>
      <c r="I35" s="1"/>
      <c r="J35" s="1"/>
    </row>
    <row r="36" spans="1:16" ht="15.75" customHeight="1" x14ac:dyDescent="0.15">
      <c r="A36" s="2">
        <v>45251.529203032405</v>
      </c>
      <c r="B36" s="1" t="s">
        <v>41</v>
      </c>
      <c r="C36" s="1" t="s">
        <v>21</v>
      </c>
      <c r="D36" s="1" t="s">
        <v>42</v>
      </c>
      <c r="E36" s="11" t="s">
        <v>29</v>
      </c>
      <c r="G36" s="11" t="s">
        <v>30</v>
      </c>
      <c r="H36" s="1" t="s">
        <v>46</v>
      </c>
      <c r="I36" s="1"/>
      <c r="J36" s="1"/>
      <c r="N36" s="41" t="s">
        <v>238</v>
      </c>
      <c r="O36" s="42"/>
      <c r="P36" s="42"/>
    </row>
    <row r="37" spans="1:16" ht="15.75" customHeight="1" x14ac:dyDescent="0.15">
      <c r="A37" s="2">
        <v>45251.529491354166</v>
      </c>
      <c r="B37" s="1" t="s">
        <v>41</v>
      </c>
      <c r="C37" s="1" t="s">
        <v>21</v>
      </c>
      <c r="D37" s="1" t="s">
        <v>51</v>
      </c>
      <c r="E37" s="11" t="s">
        <v>29</v>
      </c>
      <c r="G37" s="1" t="s">
        <v>38</v>
      </c>
      <c r="H37" s="1" t="s">
        <v>101</v>
      </c>
      <c r="I37" s="1"/>
      <c r="J37" s="1"/>
      <c r="N37" s="42"/>
      <c r="O37" s="42"/>
      <c r="P37" s="42"/>
    </row>
    <row r="38" spans="1:16" ht="15.75" customHeight="1" x14ac:dyDescent="0.15">
      <c r="A38" s="2">
        <v>45251.530792002319</v>
      </c>
      <c r="B38" s="1" t="s">
        <v>20</v>
      </c>
      <c r="C38" s="1" t="s">
        <v>21</v>
      </c>
      <c r="D38" s="1" t="s">
        <v>42</v>
      </c>
      <c r="E38" s="1" t="s">
        <v>27</v>
      </c>
      <c r="F38" s="1" t="s">
        <v>108</v>
      </c>
      <c r="G38" s="7" t="s">
        <v>66</v>
      </c>
      <c r="H38" s="1" t="s">
        <v>46</v>
      </c>
      <c r="I38" s="1"/>
      <c r="J38" s="1"/>
      <c r="N38" s="42"/>
      <c r="O38" s="42"/>
      <c r="P38" s="42"/>
    </row>
    <row r="39" spans="1:16" ht="15.75" customHeight="1" x14ac:dyDescent="0.15">
      <c r="A39" s="2">
        <v>45251.533557129631</v>
      </c>
      <c r="B39" s="1" t="s">
        <v>41</v>
      </c>
      <c r="C39" s="1" t="s">
        <v>21</v>
      </c>
      <c r="D39" s="1" t="s">
        <v>42</v>
      </c>
      <c r="E39" s="11" t="s">
        <v>29</v>
      </c>
      <c r="G39" s="1" t="s">
        <v>38</v>
      </c>
      <c r="H39" s="1" t="s">
        <v>106</v>
      </c>
      <c r="I39" s="1"/>
      <c r="J39" s="1"/>
      <c r="N39" s="42"/>
      <c r="O39" s="42"/>
      <c r="P39" s="42"/>
    </row>
    <row r="40" spans="1:16" ht="15.75" customHeight="1" x14ac:dyDescent="0.15">
      <c r="A40" s="2">
        <v>45251.534042685184</v>
      </c>
      <c r="B40" s="1" t="s">
        <v>41</v>
      </c>
      <c r="C40" s="1" t="s">
        <v>21</v>
      </c>
      <c r="D40" s="1" t="s">
        <v>42</v>
      </c>
      <c r="E40" s="11" t="s">
        <v>29</v>
      </c>
      <c r="G40" s="11" t="s">
        <v>30</v>
      </c>
      <c r="H40" s="1" t="s">
        <v>46</v>
      </c>
      <c r="I40" s="1"/>
      <c r="J40" s="1"/>
      <c r="N40" s="42"/>
      <c r="O40" s="42"/>
      <c r="P40" s="42"/>
    </row>
    <row r="41" spans="1:16" ht="15.75" customHeight="1" x14ac:dyDescent="0.15">
      <c r="A41" s="2">
        <v>45251.535046550925</v>
      </c>
      <c r="B41" s="1" t="s">
        <v>41</v>
      </c>
      <c r="C41" s="1" t="s">
        <v>75</v>
      </c>
      <c r="D41" s="1" t="s">
        <v>55</v>
      </c>
      <c r="E41" s="11" t="s">
        <v>29</v>
      </c>
      <c r="G41" s="1" t="s">
        <v>38</v>
      </c>
      <c r="H41" s="1" t="s">
        <v>111</v>
      </c>
      <c r="I41" s="1"/>
      <c r="J41" s="1"/>
      <c r="N41" s="42"/>
      <c r="O41" s="42"/>
      <c r="P41" s="42"/>
    </row>
    <row r="42" spans="1:16" ht="15.75" customHeight="1" x14ac:dyDescent="0.15">
      <c r="A42" s="2">
        <v>45251.537329537037</v>
      </c>
      <c r="B42" s="1" t="s">
        <v>20</v>
      </c>
      <c r="C42" s="1" t="s">
        <v>21</v>
      </c>
      <c r="D42" s="1" t="s">
        <v>42</v>
      </c>
      <c r="E42" s="11" t="s">
        <v>29</v>
      </c>
      <c r="G42" s="7" t="s">
        <v>66</v>
      </c>
      <c r="H42" s="1" t="s">
        <v>113</v>
      </c>
      <c r="I42" s="1"/>
      <c r="J42" s="1"/>
      <c r="N42" s="42"/>
      <c r="O42" s="42"/>
      <c r="P42" s="42"/>
    </row>
    <row r="43" spans="1:16" ht="15.75" customHeight="1" x14ac:dyDescent="0.15">
      <c r="A43" s="2">
        <v>45251.537389131947</v>
      </c>
      <c r="B43" s="1" t="s">
        <v>41</v>
      </c>
      <c r="C43" s="1" t="s">
        <v>77</v>
      </c>
      <c r="D43" s="1" t="s">
        <v>60</v>
      </c>
      <c r="E43" s="11" t="s">
        <v>29</v>
      </c>
      <c r="G43" s="1" t="s">
        <v>38</v>
      </c>
      <c r="H43" s="1" t="s">
        <v>46</v>
      </c>
      <c r="I43" s="1"/>
      <c r="J43" s="1"/>
      <c r="N43" s="42"/>
      <c r="O43" s="42"/>
      <c r="P43" s="42"/>
    </row>
    <row r="44" spans="1:16" ht="15.75" customHeight="1" x14ac:dyDescent="0.15">
      <c r="A44" s="2">
        <v>45251.543352662033</v>
      </c>
      <c r="B44" s="1" t="s">
        <v>20</v>
      </c>
      <c r="C44" s="1" t="s">
        <v>21</v>
      </c>
      <c r="D44" s="1" t="s">
        <v>42</v>
      </c>
      <c r="E44" s="11" t="s">
        <v>29</v>
      </c>
      <c r="G44" s="11" t="s">
        <v>30</v>
      </c>
      <c r="H44" s="1" t="s">
        <v>71</v>
      </c>
      <c r="I44" s="1"/>
      <c r="J44" s="1"/>
      <c r="N44" s="42"/>
      <c r="O44" s="42"/>
      <c r="P44" s="42"/>
    </row>
    <row r="45" spans="1:16" ht="15.75" customHeight="1" x14ac:dyDescent="0.15">
      <c r="A45" s="2">
        <v>45251.548824305559</v>
      </c>
      <c r="B45" s="1" t="s">
        <v>41</v>
      </c>
      <c r="C45" s="1" t="s">
        <v>21</v>
      </c>
      <c r="D45" s="1" t="s">
        <v>60</v>
      </c>
      <c r="E45" s="11" t="s">
        <v>29</v>
      </c>
      <c r="G45" s="11" t="s">
        <v>30</v>
      </c>
      <c r="H45" s="1" t="s">
        <v>116</v>
      </c>
      <c r="I45" s="1"/>
      <c r="J45" s="1"/>
      <c r="N45" s="42"/>
      <c r="O45" s="42"/>
      <c r="P45" s="42"/>
    </row>
    <row r="46" spans="1:16" ht="15.75" customHeight="1" x14ac:dyDescent="0.15">
      <c r="A46" s="2">
        <v>45251.550079502311</v>
      </c>
      <c r="B46" s="1" t="s">
        <v>20</v>
      </c>
      <c r="C46" s="1" t="s">
        <v>21</v>
      </c>
      <c r="D46" s="1" t="s">
        <v>42</v>
      </c>
      <c r="E46" s="11" t="s">
        <v>29</v>
      </c>
      <c r="G46" s="1" t="s">
        <v>38</v>
      </c>
      <c r="H46" s="1" t="s">
        <v>71</v>
      </c>
      <c r="I46" s="1"/>
      <c r="J46" s="1"/>
      <c r="N46" s="42"/>
      <c r="O46" s="42"/>
      <c r="P46" s="42"/>
    </row>
    <row r="47" spans="1:16" ht="15.75" customHeight="1" x14ac:dyDescent="0.15">
      <c r="A47" s="2">
        <v>45251.551733263885</v>
      </c>
      <c r="B47" s="1" t="s">
        <v>41</v>
      </c>
      <c r="C47" s="1" t="s">
        <v>21</v>
      </c>
      <c r="D47" s="1" t="s">
        <v>42</v>
      </c>
      <c r="E47" s="1" t="s">
        <v>27</v>
      </c>
      <c r="F47" s="1" t="s">
        <v>118</v>
      </c>
      <c r="G47" s="1" t="s">
        <v>38</v>
      </c>
      <c r="H47" s="1" t="s">
        <v>71</v>
      </c>
      <c r="I47" s="1"/>
      <c r="J47" s="1"/>
      <c r="N47" s="42"/>
      <c r="O47" s="42"/>
      <c r="P47" s="42"/>
    </row>
    <row r="48" spans="1:16" ht="15.75" customHeight="1" x14ac:dyDescent="0.15">
      <c r="A48" s="2">
        <v>45251.552271354165</v>
      </c>
      <c r="B48" s="1" t="s">
        <v>41</v>
      </c>
      <c r="C48" s="1" t="s">
        <v>21</v>
      </c>
      <c r="D48" s="1" t="s">
        <v>51</v>
      </c>
      <c r="E48" s="11" t="s">
        <v>29</v>
      </c>
      <c r="G48" s="11" t="s">
        <v>30</v>
      </c>
      <c r="H48" s="1" t="s">
        <v>46</v>
      </c>
      <c r="I48" s="1"/>
      <c r="J48" s="1"/>
      <c r="N48" s="42"/>
      <c r="O48" s="42"/>
      <c r="P48" s="42"/>
    </row>
    <row r="49" spans="1:16" ht="15.75" customHeight="1" x14ac:dyDescent="0.15">
      <c r="A49" s="2">
        <v>45251.553336099532</v>
      </c>
      <c r="B49" s="1" t="s">
        <v>20</v>
      </c>
      <c r="C49" s="1" t="s">
        <v>21</v>
      </c>
      <c r="D49" s="1" t="s">
        <v>55</v>
      </c>
      <c r="E49" s="11" t="s">
        <v>29</v>
      </c>
      <c r="G49" s="1" t="s">
        <v>38</v>
      </c>
      <c r="H49" s="1" t="s">
        <v>46</v>
      </c>
      <c r="I49" s="1"/>
      <c r="J49" s="1"/>
      <c r="N49" s="42"/>
      <c r="O49" s="42"/>
      <c r="P49" s="42"/>
    </row>
    <row r="50" spans="1:16" ht="15.75" customHeight="1" x14ac:dyDescent="0.15">
      <c r="A50" s="2">
        <v>45251.555836203705</v>
      </c>
      <c r="B50" s="1" t="s">
        <v>41</v>
      </c>
      <c r="C50" s="1" t="s">
        <v>75</v>
      </c>
      <c r="D50" s="1" t="s">
        <v>60</v>
      </c>
      <c r="E50" s="1" t="s">
        <v>27</v>
      </c>
      <c r="F50" s="1" t="s">
        <v>119</v>
      </c>
      <c r="G50" s="11" t="s">
        <v>30</v>
      </c>
      <c r="H50" s="1" t="s">
        <v>46</v>
      </c>
      <c r="I50" s="1"/>
      <c r="J50" s="1"/>
    </row>
    <row r="51" spans="1:16" ht="15.75" customHeight="1" x14ac:dyDescent="0.15">
      <c r="A51" s="2">
        <v>45251.565920324079</v>
      </c>
      <c r="B51" s="1" t="s">
        <v>41</v>
      </c>
      <c r="C51" s="1" t="s">
        <v>21</v>
      </c>
      <c r="D51" s="1" t="s">
        <v>42</v>
      </c>
      <c r="E51" s="11" t="s">
        <v>29</v>
      </c>
      <c r="G51" s="3" t="s">
        <v>174</v>
      </c>
      <c r="H51" s="1" t="s">
        <v>46</v>
      </c>
      <c r="I51" s="1"/>
      <c r="J51" s="1"/>
    </row>
    <row r="52" spans="1:16" ht="15.75" customHeight="1" x14ac:dyDescent="0.15">
      <c r="A52" s="2">
        <v>45251.56628082176</v>
      </c>
      <c r="B52" s="1" t="s">
        <v>20</v>
      </c>
      <c r="C52" s="1" t="s">
        <v>21</v>
      </c>
      <c r="D52" s="1" t="s">
        <v>60</v>
      </c>
      <c r="E52" s="11" t="s">
        <v>29</v>
      </c>
      <c r="G52" s="11" t="s">
        <v>30</v>
      </c>
      <c r="H52" s="1" t="s">
        <v>39</v>
      </c>
      <c r="I52" s="1"/>
      <c r="J52" s="1"/>
    </row>
    <row r="53" spans="1:16" ht="15.75" customHeight="1" x14ac:dyDescent="0.15">
      <c r="A53" s="2">
        <v>45251.569686979172</v>
      </c>
      <c r="B53" s="1" t="s">
        <v>41</v>
      </c>
      <c r="C53" s="1" t="s">
        <v>21</v>
      </c>
      <c r="D53" s="1" t="s">
        <v>42</v>
      </c>
      <c r="E53" s="11" t="s">
        <v>29</v>
      </c>
      <c r="G53" s="7" t="s">
        <v>66</v>
      </c>
      <c r="H53" s="1" t="s">
        <v>71</v>
      </c>
      <c r="I53" s="1"/>
      <c r="J53" s="1"/>
    </row>
    <row r="54" spans="1:16" ht="15.75" customHeight="1" x14ac:dyDescent="0.15">
      <c r="A54" s="2">
        <v>45251.572188530088</v>
      </c>
      <c r="B54" s="1" t="s">
        <v>41</v>
      </c>
      <c r="C54" s="1" t="s">
        <v>21</v>
      </c>
      <c r="D54" s="1" t="s">
        <v>51</v>
      </c>
      <c r="E54" s="11" t="s">
        <v>29</v>
      </c>
      <c r="G54" s="11" t="s">
        <v>30</v>
      </c>
      <c r="H54" s="1" t="s">
        <v>71</v>
      </c>
      <c r="I54" s="1"/>
      <c r="J54" s="1"/>
    </row>
    <row r="55" spans="1:16" ht="13" x14ac:dyDescent="0.15">
      <c r="A55" s="2">
        <v>45251.572553344908</v>
      </c>
      <c r="B55" s="1" t="s">
        <v>41</v>
      </c>
      <c r="C55" s="1" t="s">
        <v>75</v>
      </c>
      <c r="D55" s="1" t="s">
        <v>60</v>
      </c>
      <c r="E55" s="11" t="s">
        <v>29</v>
      </c>
      <c r="G55" s="1" t="s">
        <v>38</v>
      </c>
      <c r="H55" s="1" t="s">
        <v>116</v>
      </c>
      <c r="I55" s="1"/>
      <c r="J55" s="1"/>
    </row>
    <row r="56" spans="1:16" ht="13" x14ac:dyDescent="0.15">
      <c r="A56" s="2">
        <v>45251.5727687037</v>
      </c>
      <c r="B56" s="1" t="s">
        <v>20</v>
      </c>
      <c r="C56" s="1" t="s">
        <v>56</v>
      </c>
      <c r="D56" s="1" t="s">
        <v>51</v>
      </c>
      <c r="E56" s="11" t="s">
        <v>29</v>
      </c>
      <c r="G56" s="3" t="s">
        <v>174</v>
      </c>
      <c r="H56" s="1" t="s">
        <v>46</v>
      </c>
      <c r="I56" s="1"/>
      <c r="J56" s="1"/>
    </row>
    <row r="57" spans="1:16" ht="13" x14ac:dyDescent="0.15">
      <c r="A57" s="2">
        <v>45251.57277353009</v>
      </c>
      <c r="B57" s="1" t="s">
        <v>41</v>
      </c>
      <c r="C57" s="1" t="s">
        <v>21</v>
      </c>
      <c r="D57" s="1" t="s">
        <v>51</v>
      </c>
      <c r="E57" s="1" t="s">
        <v>27</v>
      </c>
      <c r="F57" s="1" t="s">
        <v>130</v>
      </c>
      <c r="G57" s="1" t="s">
        <v>38</v>
      </c>
      <c r="H57" s="1" t="s">
        <v>46</v>
      </c>
      <c r="I57" s="1"/>
      <c r="J57" s="1"/>
    </row>
    <row r="58" spans="1:16" ht="13" x14ac:dyDescent="0.15">
      <c r="A58" s="2">
        <v>45251.572801527778</v>
      </c>
      <c r="B58" s="1" t="s">
        <v>20</v>
      </c>
      <c r="C58" s="1" t="s">
        <v>21</v>
      </c>
      <c r="D58" s="1" t="s">
        <v>51</v>
      </c>
      <c r="E58" s="11" t="s">
        <v>29</v>
      </c>
      <c r="G58" s="1" t="s">
        <v>38</v>
      </c>
      <c r="H58" s="1" t="s">
        <v>46</v>
      </c>
      <c r="I58" s="1"/>
      <c r="J58" s="1"/>
    </row>
    <row r="59" spans="1:16" ht="13" x14ac:dyDescent="0.15">
      <c r="A59" s="2">
        <v>45251.573172986115</v>
      </c>
      <c r="B59" s="1" t="s">
        <v>41</v>
      </c>
      <c r="C59" s="1" t="s">
        <v>21</v>
      </c>
      <c r="D59" s="1" t="s">
        <v>51</v>
      </c>
      <c r="E59" s="11" t="s">
        <v>29</v>
      </c>
      <c r="G59" s="7" t="s">
        <v>66</v>
      </c>
      <c r="H59" s="1" t="s">
        <v>46</v>
      </c>
      <c r="I59" s="1"/>
      <c r="J59" s="1"/>
    </row>
    <row r="60" spans="1:16" ht="13" x14ac:dyDescent="0.15">
      <c r="A60" s="2">
        <v>45251.573509872687</v>
      </c>
      <c r="B60" s="1" t="s">
        <v>41</v>
      </c>
      <c r="C60" s="1" t="s">
        <v>21</v>
      </c>
      <c r="D60" s="1" t="s">
        <v>51</v>
      </c>
      <c r="E60" s="11" t="s">
        <v>29</v>
      </c>
      <c r="G60" s="7" t="s">
        <v>66</v>
      </c>
      <c r="H60" s="1" t="s">
        <v>116</v>
      </c>
      <c r="I60" s="1"/>
      <c r="J60" s="1"/>
    </row>
    <row r="61" spans="1:16" ht="13" x14ac:dyDescent="0.15">
      <c r="A61" s="2">
        <v>45251.573550925925</v>
      </c>
      <c r="B61" s="1" t="s">
        <v>41</v>
      </c>
      <c r="C61" s="1" t="s">
        <v>21</v>
      </c>
      <c r="D61" s="1" t="s">
        <v>51</v>
      </c>
      <c r="E61" s="11" t="s">
        <v>29</v>
      </c>
      <c r="G61" s="1" t="s">
        <v>38</v>
      </c>
      <c r="H61" s="1" t="s">
        <v>71</v>
      </c>
      <c r="I61" s="1"/>
      <c r="J61" s="1"/>
    </row>
    <row r="62" spans="1:16" ht="13" x14ac:dyDescent="0.15">
      <c r="A62" s="2">
        <v>45251.573635497683</v>
      </c>
      <c r="B62" s="1" t="s">
        <v>41</v>
      </c>
      <c r="C62" s="1" t="s">
        <v>21</v>
      </c>
      <c r="D62" s="1" t="s">
        <v>51</v>
      </c>
      <c r="E62" s="11" t="s">
        <v>29</v>
      </c>
      <c r="G62" s="11" t="s">
        <v>30</v>
      </c>
      <c r="H62" s="1" t="s">
        <v>39</v>
      </c>
      <c r="I62" s="1"/>
      <c r="J62" s="1"/>
    </row>
    <row r="63" spans="1:16" ht="13" x14ac:dyDescent="0.15">
      <c r="A63" s="2">
        <v>45251.573923240736</v>
      </c>
      <c r="B63" s="1" t="s">
        <v>41</v>
      </c>
      <c r="C63" s="1" t="s">
        <v>21</v>
      </c>
      <c r="D63" s="1" t="s">
        <v>51</v>
      </c>
      <c r="E63" s="1" t="s">
        <v>27</v>
      </c>
      <c r="F63" s="1" t="s">
        <v>131</v>
      </c>
      <c r="G63" s="1" t="s">
        <v>38</v>
      </c>
      <c r="H63" s="1" t="s">
        <v>46</v>
      </c>
      <c r="I63" s="1"/>
      <c r="J63" s="1"/>
    </row>
    <row r="64" spans="1:16" ht="13" x14ac:dyDescent="0.15">
      <c r="A64" s="2">
        <v>45251.57401236111</v>
      </c>
      <c r="B64" s="1" t="s">
        <v>20</v>
      </c>
      <c r="C64" s="1" t="s">
        <v>21</v>
      </c>
      <c r="D64" s="1" t="s">
        <v>51</v>
      </c>
      <c r="E64" s="11" t="s">
        <v>29</v>
      </c>
      <c r="G64" s="1" t="s">
        <v>38</v>
      </c>
      <c r="H64" s="1" t="s">
        <v>71</v>
      </c>
      <c r="I64" s="1"/>
      <c r="J64" s="1"/>
    </row>
    <row r="65" spans="1:10" ht="13" x14ac:dyDescent="0.15">
      <c r="A65" s="2">
        <v>45251.574288703705</v>
      </c>
      <c r="B65" s="1" t="s">
        <v>41</v>
      </c>
      <c r="C65" s="1" t="s">
        <v>56</v>
      </c>
      <c r="D65" s="1" t="s">
        <v>51</v>
      </c>
      <c r="E65" s="11" t="s">
        <v>29</v>
      </c>
      <c r="G65" s="1" t="s">
        <v>38</v>
      </c>
      <c r="H65" s="1" t="s">
        <v>71</v>
      </c>
      <c r="I65" s="1"/>
      <c r="J65" s="1"/>
    </row>
    <row r="66" spans="1:10" ht="13" x14ac:dyDescent="0.15">
      <c r="A66" s="2">
        <v>45251.574362858795</v>
      </c>
      <c r="B66" s="1" t="s">
        <v>41</v>
      </c>
      <c r="C66" s="1" t="s">
        <v>56</v>
      </c>
      <c r="D66" s="1" t="s">
        <v>51</v>
      </c>
      <c r="E66" s="11" t="s">
        <v>29</v>
      </c>
      <c r="G66" s="1" t="s">
        <v>38</v>
      </c>
      <c r="H66" s="1" t="s">
        <v>46</v>
      </c>
      <c r="I66" s="1"/>
      <c r="J66" s="1"/>
    </row>
    <row r="67" spans="1:10" ht="13" x14ac:dyDescent="0.15">
      <c r="A67" s="2">
        <v>45251.574598113424</v>
      </c>
      <c r="B67" s="1" t="s">
        <v>41</v>
      </c>
      <c r="C67" s="1" t="s">
        <v>21</v>
      </c>
      <c r="D67" s="1" t="s">
        <v>51</v>
      </c>
      <c r="E67" s="11" t="s">
        <v>29</v>
      </c>
      <c r="G67" s="11" t="s">
        <v>30</v>
      </c>
      <c r="H67" s="1" t="s">
        <v>134</v>
      </c>
      <c r="I67" s="1"/>
      <c r="J67" s="1"/>
    </row>
    <row r="68" spans="1:10" ht="13" x14ac:dyDescent="0.15">
      <c r="A68" s="2">
        <v>45251.574656921293</v>
      </c>
      <c r="B68" s="1" t="s">
        <v>41</v>
      </c>
      <c r="C68" s="1" t="s">
        <v>56</v>
      </c>
      <c r="D68" s="1" t="s">
        <v>51</v>
      </c>
      <c r="E68" s="11" t="s">
        <v>29</v>
      </c>
      <c r="G68" s="1" t="s">
        <v>38</v>
      </c>
      <c r="H68" s="1" t="s">
        <v>46</v>
      </c>
      <c r="I68" s="1"/>
      <c r="J68" s="1"/>
    </row>
    <row r="69" spans="1:10" ht="13" x14ac:dyDescent="0.15">
      <c r="A69" s="2">
        <v>45251.574717384261</v>
      </c>
      <c r="B69" s="1" t="s">
        <v>41</v>
      </c>
      <c r="C69" s="1" t="s">
        <v>56</v>
      </c>
      <c r="D69" s="1" t="s">
        <v>51</v>
      </c>
      <c r="E69" s="1" t="s">
        <v>27</v>
      </c>
      <c r="F69" s="1" t="s">
        <v>137</v>
      </c>
      <c r="G69" s="11" t="s">
        <v>30</v>
      </c>
      <c r="H69" s="1" t="s">
        <v>39</v>
      </c>
      <c r="I69" s="1"/>
      <c r="J69" s="1"/>
    </row>
    <row r="70" spans="1:10" ht="13" x14ac:dyDescent="0.15">
      <c r="A70" s="2">
        <v>45251.574888287039</v>
      </c>
      <c r="B70" s="1" t="s">
        <v>41</v>
      </c>
      <c r="C70" s="1" t="s">
        <v>56</v>
      </c>
      <c r="D70" s="1" t="s">
        <v>51</v>
      </c>
      <c r="E70" s="11" t="s">
        <v>29</v>
      </c>
      <c r="G70" s="11" t="s">
        <v>30</v>
      </c>
      <c r="H70" s="1" t="s">
        <v>71</v>
      </c>
      <c r="I70" s="1"/>
      <c r="J70" s="1"/>
    </row>
    <row r="71" spans="1:10" ht="13" x14ac:dyDescent="0.15">
      <c r="A71" s="2">
        <v>45251.575058078699</v>
      </c>
      <c r="B71" s="1" t="s">
        <v>20</v>
      </c>
      <c r="C71" s="1" t="s">
        <v>72</v>
      </c>
      <c r="D71" s="1" t="s">
        <v>60</v>
      </c>
      <c r="E71" s="11" t="s">
        <v>29</v>
      </c>
      <c r="G71" s="1" t="s">
        <v>38</v>
      </c>
      <c r="H71" s="1" t="s">
        <v>46</v>
      </c>
      <c r="I71" s="1"/>
      <c r="J71" s="1"/>
    </row>
    <row r="72" spans="1:10" ht="13" x14ac:dyDescent="0.15">
      <c r="A72" s="2">
        <v>45251.57547408565</v>
      </c>
      <c r="B72" s="1" t="s">
        <v>41</v>
      </c>
      <c r="C72" s="1" t="s">
        <v>56</v>
      </c>
      <c r="D72" s="1" t="s">
        <v>51</v>
      </c>
      <c r="E72" s="11" t="s">
        <v>29</v>
      </c>
      <c r="G72" s="7" t="s">
        <v>66</v>
      </c>
      <c r="H72" s="1" t="s">
        <v>31</v>
      </c>
      <c r="I72" s="1"/>
      <c r="J72" s="1"/>
    </row>
    <row r="73" spans="1:10" ht="13" x14ac:dyDescent="0.15">
      <c r="A73" s="2">
        <v>45251.575524965279</v>
      </c>
      <c r="B73" s="1" t="s">
        <v>20</v>
      </c>
      <c r="C73" s="1" t="s">
        <v>21</v>
      </c>
      <c r="D73" s="1" t="s">
        <v>51</v>
      </c>
      <c r="E73" s="11" t="s">
        <v>29</v>
      </c>
      <c r="G73" s="11" t="s">
        <v>30</v>
      </c>
      <c r="H73" s="1" t="s">
        <v>31</v>
      </c>
      <c r="I73" s="1"/>
      <c r="J73" s="1"/>
    </row>
    <row r="74" spans="1:10" ht="13" x14ac:dyDescent="0.15">
      <c r="A74" s="2">
        <v>45251.576024421302</v>
      </c>
      <c r="B74" s="1" t="s">
        <v>41</v>
      </c>
      <c r="C74" s="1" t="s">
        <v>56</v>
      </c>
      <c r="D74" s="1" t="s">
        <v>51</v>
      </c>
      <c r="E74" s="1" t="s">
        <v>27</v>
      </c>
      <c r="F74" s="1" t="s">
        <v>140</v>
      </c>
      <c r="G74" s="1" t="s">
        <v>38</v>
      </c>
      <c r="H74" s="1" t="s">
        <v>101</v>
      </c>
      <c r="I74" s="1"/>
      <c r="J74" s="1"/>
    </row>
    <row r="75" spans="1:10" ht="13" x14ac:dyDescent="0.15">
      <c r="A75" s="2">
        <v>45251.576357858794</v>
      </c>
      <c r="B75" s="1" t="s">
        <v>41</v>
      </c>
      <c r="C75" s="1" t="s">
        <v>56</v>
      </c>
      <c r="D75" s="1" t="s">
        <v>51</v>
      </c>
      <c r="E75" s="1" t="s">
        <v>27</v>
      </c>
      <c r="F75" s="1" t="s">
        <v>143</v>
      </c>
      <c r="G75" s="1" t="s">
        <v>38</v>
      </c>
      <c r="H75" s="1" t="s">
        <v>116</v>
      </c>
      <c r="I75" s="1"/>
      <c r="J75" s="1"/>
    </row>
    <row r="76" spans="1:10" ht="13" x14ac:dyDescent="0.15">
      <c r="A76" s="2">
        <v>45251.576561678245</v>
      </c>
      <c r="B76" s="1" t="s">
        <v>41</v>
      </c>
      <c r="C76" s="1" t="s">
        <v>21</v>
      </c>
      <c r="D76" s="1" t="s">
        <v>42</v>
      </c>
      <c r="E76" s="11" t="s">
        <v>29</v>
      </c>
      <c r="G76" s="1" t="s">
        <v>38</v>
      </c>
      <c r="H76" s="1" t="s">
        <v>31</v>
      </c>
      <c r="I76" s="1"/>
      <c r="J76" s="1"/>
    </row>
    <row r="77" spans="1:10" ht="13" x14ac:dyDescent="0.15">
      <c r="A77" s="2">
        <v>45251.577017731484</v>
      </c>
      <c r="B77" s="1" t="s">
        <v>20</v>
      </c>
      <c r="C77" s="1" t="s">
        <v>56</v>
      </c>
      <c r="D77" s="1" t="s">
        <v>51</v>
      </c>
      <c r="E77" s="11" t="s">
        <v>29</v>
      </c>
      <c r="G77" s="1" t="s">
        <v>38</v>
      </c>
      <c r="H77" s="1" t="s">
        <v>31</v>
      </c>
      <c r="I77" s="1"/>
      <c r="J77" s="1"/>
    </row>
    <row r="78" spans="1:10" ht="13" x14ac:dyDescent="0.15">
      <c r="A78" s="2">
        <v>45251.577120057875</v>
      </c>
      <c r="B78" s="1" t="s">
        <v>20</v>
      </c>
      <c r="C78" s="1" t="s">
        <v>56</v>
      </c>
      <c r="D78" s="1" t="s">
        <v>51</v>
      </c>
      <c r="E78" s="11" t="s">
        <v>29</v>
      </c>
      <c r="G78" s="1" t="s">
        <v>38</v>
      </c>
      <c r="H78" s="1" t="s">
        <v>31</v>
      </c>
      <c r="I78" s="1"/>
      <c r="J78" s="1"/>
    </row>
    <row r="79" spans="1:10" ht="13" x14ac:dyDescent="0.15">
      <c r="A79" s="2">
        <v>45251.57730524306</v>
      </c>
      <c r="B79" s="1" t="s">
        <v>41</v>
      </c>
      <c r="C79" s="1" t="s">
        <v>21</v>
      </c>
      <c r="D79" s="1" t="s">
        <v>51</v>
      </c>
      <c r="E79" s="11" t="s">
        <v>29</v>
      </c>
      <c r="G79" s="11" t="s">
        <v>30</v>
      </c>
      <c r="H79" s="1" t="s">
        <v>46</v>
      </c>
      <c r="I79" s="1"/>
      <c r="J79" s="1"/>
    </row>
    <row r="80" spans="1:10" ht="13" x14ac:dyDescent="0.15">
      <c r="A80" s="2">
        <v>45251.57745582176</v>
      </c>
      <c r="B80" s="1" t="s">
        <v>20</v>
      </c>
      <c r="C80" s="1" t="s">
        <v>56</v>
      </c>
      <c r="D80" s="1" t="s">
        <v>51</v>
      </c>
      <c r="E80" s="11" t="s">
        <v>29</v>
      </c>
      <c r="G80" s="7" t="s">
        <v>66</v>
      </c>
      <c r="H80" s="1" t="s">
        <v>147</v>
      </c>
      <c r="I80" s="1"/>
      <c r="J80" s="1"/>
    </row>
    <row r="81" spans="1:10" ht="13" x14ac:dyDescent="0.15">
      <c r="A81" s="2">
        <v>45251.577469525466</v>
      </c>
      <c r="B81" s="1" t="s">
        <v>20</v>
      </c>
      <c r="C81" s="1" t="s">
        <v>56</v>
      </c>
      <c r="D81" s="1" t="s">
        <v>51</v>
      </c>
      <c r="E81" s="11" t="s">
        <v>29</v>
      </c>
      <c r="G81" s="11" t="s">
        <v>30</v>
      </c>
      <c r="H81" s="1" t="s">
        <v>71</v>
      </c>
      <c r="I81" s="1"/>
      <c r="J81" s="1"/>
    </row>
    <row r="82" spans="1:10" ht="13" x14ac:dyDescent="0.15">
      <c r="A82" s="2">
        <v>45251.577569594912</v>
      </c>
      <c r="B82" s="1" t="s">
        <v>20</v>
      </c>
      <c r="C82" s="1" t="s">
        <v>56</v>
      </c>
      <c r="D82" s="1" t="s">
        <v>51</v>
      </c>
      <c r="E82" s="11" t="s">
        <v>29</v>
      </c>
      <c r="G82" s="1" t="s">
        <v>38</v>
      </c>
      <c r="H82" s="1" t="s">
        <v>71</v>
      </c>
      <c r="I82" s="1"/>
      <c r="J82" s="1"/>
    </row>
    <row r="83" spans="1:10" ht="13" x14ac:dyDescent="0.15">
      <c r="A83" s="2">
        <v>45251.577619525458</v>
      </c>
      <c r="B83" s="1" t="s">
        <v>20</v>
      </c>
      <c r="C83" s="1" t="s">
        <v>56</v>
      </c>
      <c r="D83" s="1" t="s">
        <v>51</v>
      </c>
      <c r="E83" s="11" t="s">
        <v>29</v>
      </c>
      <c r="G83" s="1" t="s">
        <v>38</v>
      </c>
      <c r="H83" s="1" t="s">
        <v>31</v>
      </c>
      <c r="I83" s="1"/>
      <c r="J83" s="1"/>
    </row>
    <row r="84" spans="1:10" ht="13" x14ac:dyDescent="0.15">
      <c r="A84" s="2">
        <v>45251.577707233795</v>
      </c>
      <c r="B84" s="1" t="s">
        <v>41</v>
      </c>
      <c r="C84" s="1" t="s">
        <v>21</v>
      </c>
      <c r="D84" s="1" t="s">
        <v>51</v>
      </c>
      <c r="E84" s="11" t="s">
        <v>29</v>
      </c>
      <c r="G84" s="1" t="s">
        <v>38</v>
      </c>
      <c r="H84" s="1" t="s">
        <v>46</v>
      </c>
      <c r="I84" s="1"/>
      <c r="J84" s="1"/>
    </row>
    <row r="85" spans="1:10" ht="13" x14ac:dyDescent="0.15">
      <c r="A85" s="2">
        <v>45251.578058333333</v>
      </c>
      <c r="B85" s="1" t="s">
        <v>20</v>
      </c>
      <c r="C85" s="1" t="s">
        <v>21</v>
      </c>
      <c r="D85" s="1" t="s">
        <v>51</v>
      </c>
      <c r="E85" s="1" t="s">
        <v>27</v>
      </c>
      <c r="F85" s="1" t="s">
        <v>151</v>
      </c>
      <c r="G85" s="3" t="s">
        <v>174</v>
      </c>
      <c r="H85" s="1" t="s">
        <v>152</v>
      </c>
      <c r="I85" s="1"/>
      <c r="J85" s="1"/>
    </row>
    <row r="86" spans="1:10" ht="13" x14ac:dyDescent="0.15">
      <c r="A86" s="2">
        <v>45251.578936423612</v>
      </c>
      <c r="B86" s="1" t="s">
        <v>41</v>
      </c>
      <c r="C86" s="1" t="s">
        <v>21</v>
      </c>
      <c r="D86" s="1" t="s">
        <v>51</v>
      </c>
      <c r="E86" s="11" t="s">
        <v>29</v>
      </c>
      <c r="G86" s="1" t="s">
        <v>38</v>
      </c>
      <c r="H86" s="1" t="s">
        <v>31</v>
      </c>
      <c r="I86" s="1"/>
      <c r="J86" s="1"/>
    </row>
    <row r="87" spans="1:10" ht="13" x14ac:dyDescent="0.15">
      <c r="A87" s="2">
        <v>45251.580394803241</v>
      </c>
      <c r="B87" s="1" t="s">
        <v>41</v>
      </c>
      <c r="C87" s="1" t="s">
        <v>21</v>
      </c>
      <c r="D87" s="1" t="s">
        <v>51</v>
      </c>
      <c r="E87" s="1" t="s">
        <v>27</v>
      </c>
      <c r="F87" s="1" t="s">
        <v>155</v>
      </c>
      <c r="G87" s="1" t="s">
        <v>38</v>
      </c>
      <c r="H87" s="1" t="s">
        <v>106</v>
      </c>
      <c r="I87" s="1"/>
      <c r="J87" s="1"/>
    </row>
    <row r="88" spans="1:10" ht="13" x14ac:dyDescent="0.15">
      <c r="A88" s="2">
        <v>45251.580448587963</v>
      </c>
      <c r="B88" s="1" t="s">
        <v>41</v>
      </c>
      <c r="C88" s="1" t="s">
        <v>56</v>
      </c>
      <c r="D88" s="1" t="s">
        <v>51</v>
      </c>
      <c r="E88" s="11" t="s">
        <v>29</v>
      </c>
      <c r="G88" s="1" t="s">
        <v>38</v>
      </c>
      <c r="H88" s="1" t="s">
        <v>106</v>
      </c>
      <c r="I88" s="1"/>
      <c r="J88" s="1"/>
    </row>
    <row r="89" spans="1:10" ht="13" x14ac:dyDescent="0.15">
      <c r="A89" s="2">
        <v>45251.585245196758</v>
      </c>
      <c r="B89" s="1" t="s">
        <v>41</v>
      </c>
      <c r="C89" s="1" t="s">
        <v>21</v>
      </c>
      <c r="D89" s="1" t="s">
        <v>42</v>
      </c>
      <c r="E89" s="1" t="s">
        <v>27</v>
      </c>
      <c r="F89" s="1" t="s">
        <v>98</v>
      </c>
      <c r="G89" s="1" t="s">
        <v>38</v>
      </c>
      <c r="H89" s="1" t="s">
        <v>46</v>
      </c>
      <c r="I89" s="1"/>
      <c r="J89" s="1"/>
    </row>
    <row r="90" spans="1:10" ht="13" x14ac:dyDescent="0.15">
      <c r="A90" s="2">
        <v>45251.588210925926</v>
      </c>
      <c r="B90" s="1" t="s">
        <v>20</v>
      </c>
      <c r="C90" s="1" t="s">
        <v>56</v>
      </c>
      <c r="D90" s="1" t="s">
        <v>51</v>
      </c>
      <c r="E90" s="11" t="s">
        <v>29</v>
      </c>
      <c r="G90" s="1" t="s">
        <v>38</v>
      </c>
      <c r="H90" s="1" t="s">
        <v>46</v>
      </c>
      <c r="I90" s="1"/>
      <c r="J90" s="1"/>
    </row>
    <row r="91" spans="1:10" ht="13" x14ac:dyDescent="0.15">
      <c r="A91" s="2">
        <v>45251.618555740744</v>
      </c>
      <c r="B91" s="1" t="s">
        <v>41</v>
      </c>
      <c r="C91" s="1" t="s">
        <v>21</v>
      </c>
      <c r="D91" s="1" t="s">
        <v>42</v>
      </c>
      <c r="E91" s="11" t="s">
        <v>29</v>
      </c>
      <c r="G91" s="1" t="s">
        <v>38</v>
      </c>
      <c r="H91" s="1" t="s">
        <v>71</v>
      </c>
      <c r="I91" s="1"/>
      <c r="J91" s="1"/>
    </row>
    <row r="92" spans="1:10" ht="13" x14ac:dyDescent="0.15">
      <c r="A92" s="2">
        <v>45251.630657395828</v>
      </c>
      <c r="B92" s="1" t="s">
        <v>41</v>
      </c>
      <c r="C92" s="1" t="s">
        <v>56</v>
      </c>
      <c r="D92" s="1" t="s">
        <v>51</v>
      </c>
      <c r="E92" s="11" t="s">
        <v>29</v>
      </c>
      <c r="G92" s="1" t="s">
        <v>38</v>
      </c>
      <c r="H92" s="1" t="s">
        <v>46</v>
      </c>
      <c r="I92" s="1"/>
      <c r="J92" s="1"/>
    </row>
    <row r="93" spans="1:10" ht="13" x14ac:dyDescent="0.15">
      <c r="A93" s="2">
        <v>45251.632915671296</v>
      </c>
      <c r="B93" s="1" t="s">
        <v>41</v>
      </c>
      <c r="C93" s="1" t="s">
        <v>56</v>
      </c>
      <c r="D93" s="1" t="s">
        <v>51</v>
      </c>
      <c r="E93" s="1" t="s">
        <v>27</v>
      </c>
      <c r="F93" s="1" t="s">
        <v>158</v>
      </c>
      <c r="G93" s="11" t="s">
        <v>30</v>
      </c>
      <c r="H93" s="1" t="s">
        <v>31</v>
      </c>
      <c r="I93" s="1"/>
      <c r="J93" s="1"/>
    </row>
    <row r="94" spans="1:10" ht="13" x14ac:dyDescent="0.15">
      <c r="A94" s="2">
        <v>45251.638154918983</v>
      </c>
      <c r="B94" s="1" t="s">
        <v>20</v>
      </c>
      <c r="C94" s="1" t="s">
        <v>21</v>
      </c>
      <c r="D94" s="1" t="s">
        <v>42</v>
      </c>
      <c r="E94" s="11" t="s">
        <v>29</v>
      </c>
      <c r="G94" s="11" t="s">
        <v>30</v>
      </c>
      <c r="H94" s="1" t="s">
        <v>31</v>
      </c>
      <c r="I94" s="1"/>
      <c r="J94" s="1"/>
    </row>
    <row r="95" spans="1:10" ht="13" x14ac:dyDescent="0.15">
      <c r="A95" s="2">
        <v>45251.652837465277</v>
      </c>
      <c r="B95" s="1" t="s">
        <v>41</v>
      </c>
      <c r="C95" s="1" t="s">
        <v>21</v>
      </c>
      <c r="D95" s="1" t="s">
        <v>42</v>
      </c>
      <c r="E95" s="11" t="s">
        <v>29</v>
      </c>
      <c r="G95" s="1" t="s">
        <v>38</v>
      </c>
      <c r="H95" s="1" t="s">
        <v>31</v>
      </c>
      <c r="I95" s="1"/>
      <c r="J95" s="1"/>
    </row>
    <row r="96" spans="1:10" ht="13" x14ac:dyDescent="0.15">
      <c r="A96" s="2">
        <v>45251.655083368052</v>
      </c>
      <c r="B96" s="1" t="s">
        <v>20</v>
      </c>
      <c r="C96" s="1" t="s">
        <v>56</v>
      </c>
      <c r="D96" s="1" t="s">
        <v>51</v>
      </c>
      <c r="E96" s="11" t="s">
        <v>29</v>
      </c>
      <c r="G96" s="1" t="s">
        <v>38</v>
      </c>
      <c r="H96" s="1" t="s">
        <v>116</v>
      </c>
      <c r="I96" s="1"/>
      <c r="J96" s="1"/>
    </row>
    <row r="97" spans="1:10" ht="13" x14ac:dyDescent="0.15">
      <c r="A97" s="2">
        <v>45251.655338391203</v>
      </c>
      <c r="B97" s="1" t="s">
        <v>41</v>
      </c>
      <c r="C97" s="1" t="s">
        <v>21</v>
      </c>
      <c r="D97" s="1" t="s">
        <v>42</v>
      </c>
      <c r="E97" s="1" t="s">
        <v>27</v>
      </c>
      <c r="F97" s="1" t="s">
        <v>159</v>
      </c>
      <c r="G97" s="11" t="s">
        <v>30</v>
      </c>
      <c r="H97" s="1" t="s">
        <v>71</v>
      </c>
      <c r="I97" s="1"/>
      <c r="J97" s="1"/>
    </row>
    <row r="98" spans="1:10" ht="13" x14ac:dyDescent="0.15">
      <c r="A98" s="2">
        <v>45251.675592719912</v>
      </c>
      <c r="B98" s="1" t="s">
        <v>41</v>
      </c>
      <c r="C98" s="1" t="s">
        <v>56</v>
      </c>
      <c r="D98" s="1" t="s">
        <v>51</v>
      </c>
      <c r="E98" s="1" t="s">
        <v>27</v>
      </c>
      <c r="F98" s="1" t="s">
        <v>160</v>
      </c>
      <c r="G98" s="11" t="s">
        <v>30</v>
      </c>
      <c r="H98" s="1" t="s">
        <v>71</v>
      </c>
      <c r="I98" s="1"/>
      <c r="J98" s="1"/>
    </row>
    <row r="99" spans="1:10" ht="13" x14ac:dyDescent="0.15">
      <c r="A99" s="2">
        <v>45251.676486909724</v>
      </c>
      <c r="B99" s="1" t="s">
        <v>20</v>
      </c>
      <c r="C99" s="1" t="s">
        <v>77</v>
      </c>
      <c r="D99" s="1" t="s">
        <v>60</v>
      </c>
      <c r="E99" s="11" t="s">
        <v>29</v>
      </c>
      <c r="G99" s="1" t="s">
        <v>38</v>
      </c>
      <c r="H99" s="1" t="s">
        <v>116</v>
      </c>
      <c r="I99" s="1"/>
      <c r="J99" s="1"/>
    </row>
    <row r="100" spans="1:10" ht="13" x14ac:dyDescent="0.15">
      <c r="A100" s="2">
        <v>45251.705367777773</v>
      </c>
      <c r="B100" s="1" t="s">
        <v>41</v>
      </c>
      <c r="C100" s="1" t="s">
        <v>21</v>
      </c>
      <c r="D100" s="1" t="s">
        <v>42</v>
      </c>
      <c r="E100" s="11" t="s">
        <v>29</v>
      </c>
      <c r="G100" s="1" t="s">
        <v>38</v>
      </c>
      <c r="H100" s="1" t="s">
        <v>46</v>
      </c>
      <c r="I100" s="1"/>
      <c r="J100" s="1"/>
    </row>
    <row r="101" spans="1:10" ht="13" x14ac:dyDescent="0.15">
      <c r="A101" s="2">
        <v>45251.707655532402</v>
      </c>
      <c r="B101" s="1" t="s">
        <v>55</v>
      </c>
      <c r="C101" s="1" t="s">
        <v>21</v>
      </c>
      <c r="D101" s="1" t="s">
        <v>42</v>
      </c>
      <c r="E101" s="11" t="s">
        <v>29</v>
      </c>
      <c r="G101" s="11" t="s">
        <v>30</v>
      </c>
      <c r="H101" s="1" t="s">
        <v>46</v>
      </c>
      <c r="I101" s="1"/>
      <c r="J101" s="1"/>
    </row>
    <row r="102" spans="1:10" ht="13" x14ac:dyDescent="0.15">
      <c r="A102" s="2">
        <v>45251.710113622685</v>
      </c>
      <c r="B102" s="1" t="s">
        <v>20</v>
      </c>
      <c r="C102" s="1" t="s">
        <v>77</v>
      </c>
      <c r="D102" s="1" t="s">
        <v>60</v>
      </c>
      <c r="E102" s="11" t="s">
        <v>29</v>
      </c>
      <c r="G102" s="11" t="s">
        <v>30</v>
      </c>
      <c r="H102" s="1" t="s">
        <v>46</v>
      </c>
      <c r="I102" s="1"/>
      <c r="J102" s="1"/>
    </row>
    <row r="103" spans="1:10" ht="13" x14ac:dyDescent="0.15">
      <c r="A103" s="2">
        <v>45251.735638495375</v>
      </c>
      <c r="B103" s="1" t="s">
        <v>41</v>
      </c>
      <c r="C103" s="1" t="s">
        <v>21</v>
      </c>
      <c r="D103" s="1" t="s">
        <v>51</v>
      </c>
      <c r="E103" s="11" t="s">
        <v>29</v>
      </c>
      <c r="G103" s="1" t="s">
        <v>38</v>
      </c>
      <c r="H103" s="1" t="s">
        <v>71</v>
      </c>
      <c r="I103" s="1"/>
      <c r="J103" s="1"/>
    </row>
    <row r="104" spans="1:10" ht="13" x14ac:dyDescent="0.15">
      <c r="A104" s="2">
        <v>45251.740426932869</v>
      </c>
      <c r="B104" s="1" t="s">
        <v>41</v>
      </c>
      <c r="C104" s="1" t="s">
        <v>163</v>
      </c>
      <c r="D104" s="1" t="s">
        <v>60</v>
      </c>
      <c r="E104" s="1" t="s">
        <v>27</v>
      </c>
      <c r="F104" s="1" t="s">
        <v>165</v>
      </c>
      <c r="G104" s="11" t="s">
        <v>30</v>
      </c>
      <c r="H104" s="1" t="s">
        <v>71</v>
      </c>
      <c r="I104" s="1"/>
      <c r="J104" s="1"/>
    </row>
    <row r="105" spans="1:10" ht="13" x14ac:dyDescent="0.15">
      <c r="A105" s="2">
        <v>45251.742632673609</v>
      </c>
      <c r="B105" s="1" t="s">
        <v>41</v>
      </c>
      <c r="C105" s="1" t="s">
        <v>21</v>
      </c>
      <c r="D105" s="1" t="s">
        <v>42</v>
      </c>
      <c r="E105" s="11" t="s">
        <v>29</v>
      </c>
      <c r="G105" s="11" t="s">
        <v>30</v>
      </c>
      <c r="H105" s="1" t="s">
        <v>46</v>
      </c>
      <c r="I105" s="1"/>
      <c r="J105" s="1"/>
    </row>
    <row r="106" spans="1:10" ht="13" x14ac:dyDescent="0.15">
      <c r="A106" s="2">
        <v>45251.743431643517</v>
      </c>
      <c r="B106" s="1" t="s">
        <v>41</v>
      </c>
      <c r="C106" s="1" t="s">
        <v>21</v>
      </c>
      <c r="D106" s="1" t="s">
        <v>42</v>
      </c>
      <c r="E106" s="11" t="s">
        <v>29</v>
      </c>
      <c r="G106" s="11" t="s">
        <v>30</v>
      </c>
      <c r="H106" s="1" t="s">
        <v>71</v>
      </c>
      <c r="I106" s="1"/>
      <c r="J106" s="1"/>
    </row>
    <row r="107" spans="1:10" ht="13" x14ac:dyDescent="0.15">
      <c r="A107" s="2">
        <v>45251.753895613423</v>
      </c>
      <c r="B107" s="1" t="s">
        <v>41</v>
      </c>
      <c r="C107" s="1" t="s">
        <v>75</v>
      </c>
      <c r="D107" s="1" t="s">
        <v>60</v>
      </c>
      <c r="E107" s="1" t="s">
        <v>27</v>
      </c>
      <c r="F107" s="1" t="s">
        <v>169</v>
      </c>
      <c r="G107" s="7" t="s">
        <v>66</v>
      </c>
      <c r="H107" s="1" t="s">
        <v>116</v>
      </c>
      <c r="I107" s="1"/>
      <c r="J107" s="1"/>
    </row>
    <row r="108" spans="1:10" ht="13" x14ac:dyDescent="0.15">
      <c r="A108" s="2">
        <v>45251.7635696875</v>
      </c>
      <c r="B108" s="1" t="s">
        <v>20</v>
      </c>
      <c r="C108" s="1" t="s">
        <v>56</v>
      </c>
      <c r="D108" s="1" t="s">
        <v>51</v>
      </c>
      <c r="E108" s="11" t="s">
        <v>29</v>
      </c>
      <c r="G108" s="1" t="s">
        <v>38</v>
      </c>
      <c r="H108" s="1" t="s">
        <v>46</v>
      </c>
      <c r="I108" s="1"/>
      <c r="J108" s="1"/>
    </row>
    <row r="109" spans="1:10" ht="13" x14ac:dyDescent="0.15">
      <c r="A109" s="2">
        <v>45251.772083449076</v>
      </c>
      <c r="B109" s="1" t="s">
        <v>41</v>
      </c>
      <c r="C109" s="1" t="s">
        <v>72</v>
      </c>
      <c r="D109" s="1" t="s">
        <v>60</v>
      </c>
      <c r="E109" s="11" t="s">
        <v>29</v>
      </c>
      <c r="G109" s="11" t="s">
        <v>30</v>
      </c>
      <c r="H109" s="1" t="s">
        <v>46</v>
      </c>
      <c r="I109" s="1"/>
      <c r="J109" s="1"/>
    </row>
    <row r="110" spans="1:10" ht="13" x14ac:dyDescent="0.15">
      <c r="A110" s="2">
        <v>45251.772312337962</v>
      </c>
      <c r="B110" s="1" t="s">
        <v>41</v>
      </c>
      <c r="C110" s="1" t="s">
        <v>72</v>
      </c>
      <c r="D110" s="1" t="s">
        <v>60</v>
      </c>
      <c r="E110" s="11" t="s">
        <v>29</v>
      </c>
      <c r="G110" s="1" t="s">
        <v>38</v>
      </c>
      <c r="H110" s="1" t="s">
        <v>46</v>
      </c>
      <c r="I110" s="1"/>
      <c r="J110" s="1"/>
    </row>
    <row r="111" spans="1:10" ht="13" x14ac:dyDescent="0.15">
      <c r="A111" s="2">
        <v>45251.774068090279</v>
      </c>
      <c r="B111" s="1" t="s">
        <v>20</v>
      </c>
      <c r="C111" s="1" t="s">
        <v>72</v>
      </c>
      <c r="D111" s="1" t="s">
        <v>60</v>
      </c>
      <c r="E111" s="11" t="s">
        <v>29</v>
      </c>
      <c r="G111" s="1" t="s">
        <v>38</v>
      </c>
      <c r="H111" s="1" t="s">
        <v>46</v>
      </c>
      <c r="I111" s="1"/>
      <c r="J111" s="1"/>
    </row>
    <row r="112" spans="1:10" ht="13" x14ac:dyDescent="0.15">
      <c r="A112" s="2">
        <v>45251.776530069445</v>
      </c>
      <c r="B112" s="1" t="s">
        <v>41</v>
      </c>
      <c r="C112" s="1" t="s">
        <v>72</v>
      </c>
      <c r="D112" s="1" t="s">
        <v>60</v>
      </c>
      <c r="E112" s="11" t="s">
        <v>29</v>
      </c>
      <c r="G112" s="11" t="s">
        <v>30</v>
      </c>
      <c r="H112" s="1" t="s">
        <v>46</v>
      </c>
      <c r="I112" s="1"/>
      <c r="J112" s="1"/>
    </row>
    <row r="113" spans="1:10" ht="13" x14ac:dyDescent="0.15">
      <c r="A113" s="2">
        <v>45251.7803341088</v>
      </c>
      <c r="B113" s="1" t="s">
        <v>41</v>
      </c>
      <c r="C113" s="1" t="s">
        <v>72</v>
      </c>
      <c r="D113" s="1" t="s">
        <v>60</v>
      </c>
      <c r="E113" s="1" t="s">
        <v>27</v>
      </c>
      <c r="F113" s="1" t="s">
        <v>173</v>
      </c>
      <c r="G113" s="1" t="s">
        <v>174</v>
      </c>
      <c r="H113" s="1" t="s">
        <v>46</v>
      </c>
      <c r="I113" s="1"/>
      <c r="J113" s="1"/>
    </row>
    <row r="114" spans="1:10" ht="13" x14ac:dyDescent="0.15">
      <c r="A114" s="2">
        <v>45251.782128738429</v>
      </c>
      <c r="B114" s="1" t="s">
        <v>20</v>
      </c>
      <c r="C114" s="1" t="s">
        <v>56</v>
      </c>
      <c r="D114" s="1" t="s">
        <v>51</v>
      </c>
      <c r="E114" s="11" t="s">
        <v>29</v>
      </c>
      <c r="G114" s="7" t="s">
        <v>66</v>
      </c>
      <c r="H114" s="1" t="s">
        <v>116</v>
      </c>
      <c r="I114" s="1"/>
      <c r="J114" s="1"/>
    </row>
    <row r="115" spans="1:10" ht="13" x14ac:dyDescent="0.15">
      <c r="A115" s="2">
        <v>45251.782140694442</v>
      </c>
      <c r="B115" s="1" t="s">
        <v>20</v>
      </c>
      <c r="C115" s="1" t="s">
        <v>56</v>
      </c>
      <c r="D115" s="1" t="s">
        <v>51</v>
      </c>
      <c r="E115" s="11" t="s">
        <v>29</v>
      </c>
      <c r="G115" s="3" t="s">
        <v>174</v>
      </c>
      <c r="H115" s="1" t="s">
        <v>71</v>
      </c>
      <c r="I115" s="1"/>
      <c r="J115" s="1"/>
    </row>
    <row r="116" spans="1:10" ht="13" x14ac:dyDescent="0.15">
      <c r="A116" s="2">
        <v>45251.782739282411</v>
      </c>
      <c r="B116" s="1" t="s">
        <v>41</v>
      </c>
      <c r="C116" s="1" t="s">
        <v>56</v>
      </c>
      <c r="D116" s="1" t="s">
        <v>51</v>
      </c>
      <c r="E116" s="11" t="s">
        <v>29</v>
      </c>
      <c r="G116" s="11" t="s">
        <v>30</v>
      </c>
      <c r="H116" s="1" t="s">
        <v>46</v>
      </c>
      <c r="I116" s="1"/>
      <c r="J116" s="1"/>
    </row>
    <row r="117" spans="1:10" ht="13" x14ac:dyDescent="0.15">
      <c r="A117" s="2">
        <v>45251.783047696765</v>
      </c>
      <c r="B117" s="1" t="s">
        <v>41</v>
      </c>
      <c r="C117" s="1" t="s">
        <v>56</v>
      </c>
      <c r="D117" s="1" t="s">
        <v>51</v>
      </c>
      <c r="E117" s="11" t="s">
        <v>29</v>
      </c>
      <c r="G117" s="11" t="s">
        <v>30</v>
      </c>
      <c r="H117" s="1" t="s">
        <v>101</v>
      </c>
      <c r="I117" s="1"/>
      <c r="J117" s="1"/>
    </row>
    <row r="118" spans="1:10" ht="13" x14ac:dyDescent="0.15">
      <c r="A118" s="2">
        <v>45251.783067893513</v>
      </c>
      <c r="B118" s="1" t="s">
        <v>41</v>
      </c>
      <c r="C118" s="1" t="s">
        <v>56</v>
      </c>
      <c r="D118" s="1" t="s">
        <v>51</v>
      </c>
      <c r="E118" s="11" t="s">
        <v>29</v>
      </c>
      <c r="G118" s="11" t="s">
        <v>30</v>
      </c>
      <c r="H118" s="1" t="s">
        <v>46</v>
      </c>
      <c r="I118" s="1"/>
      <c r="J118" s="1"/>
    </row>
    <row r="119" spans="1:10" ht="13" x14ac:dyDescent="0.15">
      <c r="A119" s="2">
        <v>45251.784508506942</v>
      </c>
      <c r="B119" s="1" t="s">
        <v>41</v>
      </c>
      <c r="C119" s="1" t="s">
        <v>56</v>
      </c>
      <c r="D119" s="1" t="s">
        <v>51</v>
      </c>
      <c r="E119" s="11" t="s">
        <v>29</v>
      </c>
      <c r="G119" s="11" t="s">
        <v>30</v>
      </c>
      <c r="H119" s="1" t="s">
        <v>31</v>
      </c>
      <c r="I119" s="1"/>
      <c r="J119" s="1"/>
    </row>
    <row r="120" spans="1:10" ht="13" x14ac:dyDescent="0.15">
      <c r="A120" s="2">
        <v>45251.78651528935</v>
      </c>
      <c r="B120" s="1" t="s">
        <v>41</v>
      </c>
      <c r="C120" s="1" t="s">
        <v>56</v>
      </c>
      <c r="D120" s="1" t="s">
        <v>51</v>
      </c>
      <c r="E120" s="11" t="s">
        <v>29</v>
      </c>
      <c r="G120" s="1" t="s">
        <v>38</v>
      </c>
      <c r="H120" s="1" t="s">
        <v>71</v>
      </c>
      <c r="I120" s="1"/>
      <c r="J120" s="1"/>
    </row>
    <row r="121" spans="1:10" ht="13" x14ac:dyDescent="0.15">
      <c r="A121" s="2">
        <v>45251.78659369213</v>
      </c>
      <c r="B121" s="1" t="s">
        <v>41</v>
      </c>
      <c r="C121" s="1" t="s">
        <v>56</v>
      </c>
      <c r="D121" s="1" t="s">
        <v>51</v>
      </c>
      <c r="E121" s="1" t="s">
        <v>27</v>
      </c>
      <c r="F121" s="1" t="s">
        <v>182</v>
      </c>
      <c r="G121" s="1" t="s">
        <v>38</v>
      </c>
      <c r="H121" s="1" t="s">
        <v>31</v>
      </c>
      <c r="I121" s="1"/>
      <c r="J121" s="1"/>
    </row>
    <row r="122" spans="1:10" ht="13" x14ac:dyDescent="0.15">
      <c r="A122" s="2">
        <v>45251.790628518516</v>
      </c>
      <c r="B122" s="1" t="s">
        <v>20</v>
      </c>
      <c r="C122" s="1" t="s">
        <v>56</v>
      </c>
      <c r="D122" s="1" t="s">
        <v>51</v>
      </c>
      <c r="E122" s="11" t="s">
        <v>29</v>
      </c>
      <c r="G122" s="1" t="s">
        <v>38</v>
      </c>
      <c r="H122" s="1" t="s">
        <v>46</v>
      </c>
      <c r="I122" s="1"/>
      <c r="J122" s="1"/>
    </row>
    <row r="123" spans="1:10" ht="13" x14ac:dyDescent="0.15">
      <c r="A123" s="2">
        <v>45251.791547013891</v>
      </c>
      <c r="B123" s="1" t="s">
        <v>20</v>
      </c>
      <c r="C123" s="1" t="s">
        <v>56</v>
      </c>
      <c r="D123" s="1" t="s">
        <v>51</v>
      </c>
      <c r="E123" s="11" t="s">
        <v>29</v>
      </c>
      <c r="G123" s="1" t="s">
        <v>38</v>
      </c>
      <c r="H123" s="1" t="s">
        <v>31</v>
      </c>
      <c r="I123" s="1"/>
      <c r="J123" s="1"/>
    </row>
    <row r="124" spans="1:10" ht="13" x14ac:dyDescent="0.15">
      <c r="A124" s="2">
        <v>45251.797867395835</v>
      </c>
      <c r="B124" s="1" t="s">
        <v>41</v>
      </c>
      <c r="C124" s="1" t="s">
        <v>21</v>
      </c>
      <c r="D124" s="1" t="s">
        <v>42</v>
      </c>
      <c r="E124" s="11" t="s">
        <v>29</v>
      </c>
      <c r="G124" s="7" t="s">
        <v>66</v>
      </c>
      <c r="H124" s="1" t="s">
        <v>71</v>
      </c>
      <c r="I124" s="1"/>
      <c r="J124" s="1"/>
    </row>
    <row r="125" spans="1:10" ht="13" x14ac:dyDescent="0.15">
      <c r="A125" s="2">
        <v>45251.807915324069</v>
      </c>
      <c r="B125" s="1" t="s">
        <v>41</v>
      </c>
      <c r="C125" s="1" t="s">
        <v>21</v>
      </c>
      <c r="D125" s="1" t="s">
        <v>60</v>
      </c>
      <c r="E125" s="11" t="s">
        <v>29</v>
      </c>
      <c r="G125" s="7" t="s">
        <v>66</v>
      </c>
      <c r="H125" s="1" t="s">
        <v>46</v>
      </c>
      <c r="I125" s="1"/>
      <c r="J125" s="1"/>
    </row>
    <row r="126" spans="1:10" ht="13" x14ac:dyDescent="0.15">
      <c r="A126" s="2">
        <v>45251.808582199075</v>
      </c>
      <c r="B126" s="1" t="s">
        <v>20</v>
      </c>
      <c r="C126" s="1" t="s">
        <v>21</v>
      </c>
      <c r="D126" s="1" t="s">
        <v>60</v>
      </c>
      <c r="E126" s="11" t="s">
        <v>29</v>
      </c>
      <c r="G126" s="1" t="s">
        <v>38</v>
      </c>
      <c r="H126" s="1" t="s">
        <v>46</v>
      </c>
      <c r="I126" s="1"/>
      <c r="J126" s="1"/>
    </row>
    <row r="127" spans="1:10" ht="13" x14ac:dyDescent="0.15">
      <c r="A127" s="2">
        <v>45251.815429062495</v>
      </c>
      <c r="B127" s="1" t="s">
        <v>41</v>
      </c>
      <c r="C127" s="1" t="s">
        <v>72</v>
      </c>
      <c r="D127" s="1" t="s">
        <v>60</v>
      </c>
      <c r="E127" s="11" t="s">
        <v>29</v>
      </c>
      <c r="G127" s="1" t="s">
        <v>38</v>
      </c>
      <c r="H127" s="1" t="s">
        <v>31</v>
      </c>
      <c r="I127" s="1"/>
      <c r="J127" s="1"/>
    </row>
    <row r="128" spans="1:10" ht="13" x14ac:dyDescent="0.15">
      <c r="A128" s="2">
        <v>45251.816763067131</v>
      </c>
      <c r="B128" s="1" t="s">
        <v>20</v>
      </c>
      <c r="C128" s="1" t="s">
        <v>56</v>
      </c>
      <c r="D128" s="1" t="s">
        <v>51</v>
      </c>
      <c r="E128" s="11" t="s">
        <v>29</v>
      </c>
      <c r="G128" s="1" t="s">
        <v>38</v>
      </c>
      <c r="H128" s="1" t="s">
        <v>31</v>
      </c>
      <c r="I128" s="1"/>
      <c r="J128" s="1"/>
    </row>
    <row r="129" spans="1:10" ht="13" x14ac:dyDescent="0.15">
      <c r="A129" s="2">
        <v>45251.837336724537</v>
      </c>
      <c r="B129" s="1" t="s">
        <v>41</v>
      </c>
      <c r="C129" s="1" t="s">
        <v>75</v>
      </c>
      <c r="D129" s="1" t="s">
        <v>60</v>
      </c>
      <c r="E129" s="11" t="s">
        <v>29</v>
      </c>
      <c r="G129" s="1" t="s">
        <v>38</v>
      </c>
      <c r="H129" s="1" t="s">
        <v>46</v>
      </c>
      <c r="I129" s="1"/>
      <c r="J129" s="1"/>
    </row>
    <row r="130" spans="1:10" ht="13" x14ac:dyDescent="0.15">
      <c r="A130" s="2">
        <v>45251.85367887732</v>
      </c>
      <c r="B130" s="1" t="s">
        <v>41</v>
      </c>
      <c r="C130" s="1" t="s">
        <v>75</v>
      </c>
      <c r="D130" s="1" t="s">
        <v>60</v>
      </c>
      <c r="E130" s="11" t="s">
        <v>29</v>
      </c>
      <c r="G130" s="11" t="s">
        <v>30</v>
      </c>
      <c r="H130" s="1" t="s">
        <v>31</v>
      </c>
      <c r="I130" s="1"/>
      <c r="J130" s="1"/>
    </row>
    <row r="131" spans="1:10" ht="13" x14ac:dyDescent="0.15">
      <c r="A131" s="2">
        <v>45251.864192893518</v>
      </c>
      <c r="B131" s="1" t="s">
        <v>41</v>
      </c>
      <c r="C131" s="1" t="s">
        <v>77</v>
      </c>
      <c r="D131" s="1" t="s">
        <v>60</v>
      </c>
      <c r="E131" s="11" t="s">
        <v>29</v>
      </c>
      <c r="G131" s="11" t="s">
        <v>30</v>
      </c>
      <c r="H131" s="1" t="s">
        <v>46</v>
      </c>
      <c r="I131" s="1"/>
      <c r="J131" s="1"/>
    </row>
    <row r="132" spans="1:10" ht="13" x14ac:dyDescent="0.15">
      <c r="A132" s="2">
        <v>45251.869960185184</v>
      </c>
      <c r="B132" s="1" t="s">
        <v>41</v>
      </c>
      <c r="C132" s="1" t="s">
        <v>56</v>
      </c>
      <c r="D132" s="1" t="s">
        <v>51</v>
      </c>
      <c r="E132" s="11" t="s">
        <v>29</v>
      </c>
      <c r="G132" s="7" t="s">
        <v>66</v>
      </c>
      <c r="H132" s="1" t="s">
        <v>185</v>
      </c>
      <c r="I132" s="1"/>
      <c r="J132" s="1"/>
    </row>
    <row r="133" spans="1:10" ht="13" x14ac:dyDescent="0.15">
      <c r="A133" s="2">
        <v>45251.878981342597</v>
      </c>
      <c r="B133" s="1" t="s">
        <v>20</v>
      </c>
      <c r="C133" s="1" t="s">
        <v>56</v>
      </c>
      <c r="D133" s="1" t="s">
        <v>51</v>
      </c>
      <c r="E133" s="11" t="s">
        <v>29</v>
      </c>
      <c r="G133" s="3" t="s">
        <v>174</v>
      </c>
      <c r="H133" s="1" t="s">
        <v>46</v>
      </c>
      <c r="I133" s="1"/>
      <c r="J133" s="1"/>
    </row>
    <row r="134" spans="1:10" ht="13" x14ac:dyDescent="0.15">
      <c r="A134" s="2">
        <v>45251.884422754629</v>
      </c>
      <c r="B134" s="1" t="s">
        <v>41</v>
      </c>
      <c r="C134" s="1" t="s">
        <v>75</v>
      </c>
      <c r="D134" s="1" t="s">
        <v>60</v>
      </c>
      <c r="E134" s="11" t="s">
        <v>29</v>
      </c>
      <c r="G134" s="7" t="s">
        <v>66</v>
      </c>
      <c r="H134" s="1" t="s">
        <v>46</v>
      </c>
      <c r="I134" s="1"/>
      <c r="J134" s="1"/>
    </row>
    <row r="135" spans="1:10" ht="13" x14ac:dyDescent="0.15">
      <c r="A135" s="2">
        <v>45251.907799606481</v>
      </c>
      <c r="B135" s="1" t="s">
        <v>41</v>
      </c>
      <c r="C135" s="1" t="s">
        <v>21</v>
      </c>
      <c r="D135" s="1" t="s">
        <v>51</v>
      </c>
      <c r="E135" s="11" t="s">
        <v>29</v>
      </c>
      <c r="G135" s="11" t="s">
        <v>30</v>
      </c>
      <c r="H135" s="1" t="s">
        <v>71</v>
      </c>
      <c r="I135" s="1"/>
      <c r="J135" s="1"/>
    </row>
    <row r="136" spans="1:10" ht="13" x14ac:dyDescent="0.15">
      <c r="A136" s="2">
        <v>45251.908089363424</v>
      </c>
      <c r="B136" s="1" t="s">
        <v>41</v>
      </c>
      <c r="C136" s="1" t="s">
        <v>56</v>
      </c>
      <c r="D136" s="1" t="s">
        <v>51</v>
      </c>
      <c r="E136" s="11" t="s">
        <v>29</v>
      </c>
      <c r="G136" s="1" t="s">
        <v>38</v>
      </c>
      <c r="H136" s="1" t="s">
        <v>46</v>
      </c>
      <c r="I136" s="1"/>
      <c r="J136" s="1"/>
    </row>
    <row r="137" spans="1:10" ht="13" x14ac:dyDescent="0.15">
      <c r="A137" s="2">
        <v>45251.908119664353</v>
      </c>
      <c r="B137" s="1" t="s">
        <v>41</v>
      </c>
      <c r="C137" s="1" t="s">
        <v>21</v>
      </c>
      <c r="D137" s="1" t="s">
        <v>42</v>
      </c>
      <c r="E137" s="1" t="s">
        <v>27</v>
      </c>
      <c r="F137" s="1" t="s">
        <v>188</v>
      </c>
      <c r="G137" s="11" t="s">
        <v>30</v>
      </c>
      <c r="H137" s="1" t="s">
        <v>71</v>
      </c>
      <c r="I137" s="1"/>
      <c r="J137" s="1"/>
    </row>
    <row r="138" spans="1:10" ht="13" x14ac:dyDescent="0.15">
      <c r="A138" s="2">
        <v>45251.908433020828</v>
      </c>
      <c r="B138" s="1" t="s">
        <v>20</v>
      </c>
      <c r="C138" s="1" t="s">
        <v>56</v>
      </c>
      <c r="D138" s="1" t="s">
        <v>51</v>
      </c>
      <c r="E138" s="11" t="s">
        <v>29</v>
      </c>
      <c r="G138" s="3" t="s">
        <v>174</v>
      </c>
      <c r="H138" s="1" t="s">
        <v>71</v>
      </c>
      <c r="I138" s="1"/>
      <c r="J138" s="1"/>
    </row>
    <row r="139" spans="1:10" ht="13" x14ac:dyDescent="0.15">
      <c r="A139" s="2">
        <v>45251.90844295139</v>
      </c>
      <c r="B139" s="1" t="s">
        <v>20</v>
      </c>
      <c r="C139" s="1" t="s">
        <v>21</v>
      </c>
      <c r="D139" s="1" t="s">
        <v>55</v>
      </c>
      <c r="E139" s="11" t="s">
        <v>29</v>
      </c>
      <c r="G139" s="7" t="s">
        <v>66</v>
      </c>
      <c r="H139" s="1" t="s">
        <v>191</v>
      </c>
      <c r="I139" s="1"/>
      <c r="J139" s="1"/>
    </row>
    <row r="140" spans="1:10" ht="13" x14ac:dyDescent="0.15">
      <c r="A140" s="2">
        <v>45251.908496689815</v>
      </c>
      <c r="B140" s="1" t="s">
        <v>41</v>
      </c>
      <c r="C140" s="1" t="s">
        <v>21</v>
      </c>
      <c r="D140" s="1" t="s">
        <v>51</v>
      </c>
      <c r="E140" s="1" t="s">
        <v>27</v>
      </c>
      <c r="F140" s="1" t="s">
        <v>192</v>
      </c>
      <c r="G140" s="1" t="s">
        <v>38</v>
      </c>
      <c r="H140" s="1" t="s">
        <v>46</v>
      </c>
      <c r="I140" s="1"/>
      <c r="J140" s="1"/>
    </row>
    <row r="141" spans="1:10" ht="13" x14ac:dyDescent="0.15">
      <c r="A141" s="2">
        <v>45251.908716238424</v>
      </c>
      <c r="B141" s="1" t="s">
        <v>20</v>
      </c>
      <c r="C141" s="1" t="s">
        <v>56</v>
      </c>
      <c r="D141" s="1" t="s">
        <v>51</v>
      </c>
      <c r="E141" s="11" t="s">
        <v>29</v>
      </c>
      <c r="G141" s="11" t="s">
        <v>30</v>
      </c>
      <c r="H141" s="1" t="s">
        <v>46</v>
      </c>
      <c r="I141" s="1"/>
      <c r="J141" s="1"/>
    </row>
    <row r="142" spans="1:10" ht="13" x14ac:dyDescent="0.15">
      <c r="A142" s="2">
        <v>45251.908738564816</v>
      </c>
      <c r="B142" s="1" t="s">
        <v>41</v>
      </c>
      <c r="C142" s="1" t="s">
        <v>21</v>
      </c>
      <c r="D142" s="1" t="s">
        <v>51</v>
      </c>
      <c r="E142" s="11" t="s">
        <v>29</v>
      </c>
      <c r="G142" s="1" t="s">
        <v>38</v>
      </c>
      <c r="H142" s="1" t="s">
        <v>46</v>
      </c>
      <c r="I142" s="1"/>
      <c r="J142" s="1"/>
    </row>
    <row r="143" spans="1:10" ht="13" x14ac:dyDescent="0.15">
      <c r="A143" s="2">
        <v>45251.908907696758</v>
      </c>
      <c r="B143" s="1" t="s">
        <v>41</v>
      </c>
      <c r="C143" s="1" t="s">
        <v>21</v>
      </c>
      <c r="D143" s="1" t="s">
        <v>42</v>
      </c>
      <c r="E143" s="11" t="s">
        <v>29</v>
      </c>
      <c r="G143" s="1" t="s">
        <v>38</v>
      </c>
      <c r="H143" s="1" t="s">
        <v>46</v>
      </c>
      <c r="I143" s="1"/>
      <c r="J143" s="1"/>
    </row>
    <row r="144" spans="1:10" ht="13" x14ac:dyDescent="0.15">
      <c r="A144" s="2">
        <v>45251.909170451385</v>
      </c>
      <c r="B144" s="1" t="s">
        <v>20</v>
      </c>
      <c r="C144" s="1" t="s">
        <v>56</v>
      </c>
      <c r="D144" s="1" t="s">
        <v>51</v>
      </c>
      <c r="E144" s="11" t="s">
        <v>29</v>
      </c>
      <c r="G144" s="1" t="s">
        <v>38</v>
      </c>
      <c r="H144" s="1" t="s">
        <v>46</v>
      </c>
      <c r="I144" s="1"/>
      <c r="J144" s="1"/>
    </row>
    <row r="145" spans="1:10" ht="13" x14ac:dyDescent="0.15">
      <c r="A145" s="2">
        <v>45251.910125266208</v>
      </c>
      <c r="B145" s="1" t="s">
        <v>20</v>
      </c>
      <c r="C145" s="1" t="s">
        <v>21</v>
      </c>
      <c r="D145" s="1" t="s">
        <v>42</v>
      </c>
      <c r="E145" s="11" t="s">
        <v>29</v>
      </c>
      <c r="G145" s="1" t="s">
        <v>38</v>
      </c>
      <c r="H145" s="1" t="s">
        <v>101</v>
      </c>
      <c r="I145" s="1"/>
      <c r="J145" s="1"/>
    </row>
    <row r="146" spans="1:10" ht="13" x14ac:dyDescent="0.15">
      <c r="A146" s="2">
        <v>45251.911031053241</v>
      </c>
      <c r="B146" s="1" t="s">
        <v>41</v>
      </c>
      <c r="C146" s="1" t="s">
        <v>21</v>
      </c>
      <c r="D146" s="1" t="s">
        <v>51</v>
      </c>
      <c r="E146" s="1" t="s">
        <v>27</v>
      </c>
      <c r="F146" s="1" t="s">
        <v>196</v>
      </c>
      <c r="G146" s="1" t="s">
        <v>38</v>
      </c>
      <c r="H146" s="1" t="s">
        <v>46</v>
      </c>
      <c r="I146" s="1"/>
      <c r="J146" s="1"/>
    </row>
    <row r="147" spans="1:10" ht="13" x14ac:dyDescent="0.15">
      <c r="A147" s="2">
        <v>45251.912558981479</v>
      </c>
      <c r="B147" s="1" t="s">
        <v>41</v>
      </c>
      <c r="C147" s="1" t="s">
        <v>72</v>
      </c>
      <c r="D147" s="1" t="s">
        <v>60</v>
      </c>
      <c r="E147" s="11" t="s">
        <v>29</v>
      </c>
      <c r="G147" s="1" t="s">
        <v>38</v>
      </c>
      <c r="H147" s="1" t="s">
        <v>46</v>
      </c>
      <c r="I147" s="1"/>
      <c r="J147" s="1"/>
    </row>
    <row r="148" spans="1:10" ht="13" x14ac:dyDescent="0.15">
      <c r="A148" s="2">
        <v>45251.912693043982</v>
      </c>
      <c r="B148" s="1" t="s">
        <v>55</v>
      </c>
      <c r="C148" s="1" t="s">
        <v>72</v>
      </c>
      <c r="D148" s="1" t="s">
        <v>60</v>
      </c>
      <c r="E148" s="11" t="s">
        <v>29</v>
      </c>
      <c r="G148" s="7" t="s">
        <v>66</v>
      </c>
      <c r="H148" s="1" t="s">
        <v>116</v>
      </c>
      <c r="I148" s="1"/>
      <c r="J148" s="1"/>
    </row>
    <row r="149" spans="1:10" ht="13" x14ac:dyDescent="0.15">
      <c r="A149" s="2">
        <v>45251.912693877312</v>
      </c>
      <c r="B149" s="1" t="s">
        <v>20</v>
      </c>
      <c r="C149" s="1" t="s">
        <v>21</v>
      </c>
      <c r="D149" s="1" t="s">
        <v>51</v>
      </c>
      <c r="E149" s="11" t="s">
        <v>29</v>
      </c>
      <c r="G149" s="1" t="s">
        <v>38</v>
      </c>
      <c r="H149" s="1" t="s">
        <v>39</v>
      </c>
      <c r="I149" s="1"/>
      <c r="J149" s="1"/>
    </row>
    <row r="150" spans="1:10" ht="13" x14ac:dyDescent="0.15">
      <c r="A150" s="2">
        <v>45251.913088912042</v>
      </c>
      <c r="B150" s="1" t="s">
        <v>20</v>
      </c>
      <c r="C150" s="1" t="s">
        <v>56</v>
      </c>
      <c r="D150" s="1" t="s">
        <v>51</v>
      </c>
      <c r="E150" s="11" t="s">
        <v>29</v>
      </c>
      <c r="G150" s="11" t="s">
        <v>30</v>
      </c>
      <c r="H150" s="1" t="s">
        <v>116</v>
      </c>
      <c r="I150" s="1"/>
      <c r="J150" s="1"/>
    </row>
    <row r="151" spans="1:10" ht="13" x14ac:dyDescent="0.15">
      <c r="A151" s="2">
        <v>45251.913173148147</v>
      </c>
      <c r="B151" s="1" t="s">
        <v>41</v>
      </c>
      <c r="C151" s="1" t="s">
        <v>21</v>
      </c>
      <c r="D151" s="1" t="s">
        <v>42</v>
      </c>
      <c r="E151" s="11" t="s">
        <v>29</v>
      </c>
      <c r="G151" s="11" t="s">
        <v>30</v>
      </c>
      <c r="H151" s="1" t="s">
        <v>31</v>
      </c>
      <c r="I151" s="1"/>
      <c r="J151" s="1"/>
    </row>
    <row r="152" spans="1:10" ht="13" x14ac:dyDescent="0.15">
      <c r="A152" s="2">
        <v>45251.913237303241</v>
      </c>
      <c r="B152" s="1" t="s">
        <v>20</v>
      </c>
      <c r="C152" s="1" t="s">
        <v>21</v>
      </c>
      <c r="D152" s="1" t="s">
        <v>51</v>
      </c>
      <c r="E152" s="11" t="s">
        <v>29</v>
      </c>
      <c r="G152" s="11" t="s">
        <v>30</v>
      </c>
      <c r="H152" s="1" t="s">
        <v>71</v>
      </c>
      <c r="I152" s="1"/>
      <c r="J152" s="1"/>
    </row>
    <row r="153" spans="1:10" ht="13" x14ac:dyDescent="0.15">
      <c r="A153" s="2">
        <v>45251.915312384255</v>
      </c>
      <c r="B153" s="1" t="s">
        <v>41</v>
      </c>
      <c r="C153" s="1" t="s">
        <v>56</v>
      </c>
      <c r="D153" s="1" t="s">
        <v>51</v>
      </c>
      <c r="E153" s="1" t="s">
        <v>27</v>
      </c>
      <c r="F153" s="1" t="s">
        <v>203</v>
      </c>
      <c r="G153" s="1" t="s">
        <v>38</v>
      </c>
      <c r="H153" s="1" t="s">
        <v>46</v>
      </c>
      <c r="I153" s="1"/>
      <c r="J153" s="1"/>
    </row>
    <row r="154" spans="1:10" ht="13" x14ac:dyDescent="0.15">
      <c r="A154" s="2">
        <v>45251.91691028935</v>
      </c>
      <c r="B154" s="1" t="s">
        <v>41</v>
      </c>
      <c r="C154" s="1" t="s">
        <v>21</v>
      </c>
      <c r="D154" s="1" t="s">
        <v>51</v>
      </c>
      <c r="E154" s="11" t="s">
        <v>29</v>
      </c>
      <c r="G154" s="1" t="s">
        <v>38</v>
      </c>
      <c r="H154" s="1" t="s">
        <v>46</v>
      </c>
      <c r="I154" s="1"/>
      <c r="J154" s="1"/>
    </row>
    <row r="155" spans="1:10" ht="13" x14ac:dyDescent="0.15">
      <c r="A155" s="2">
        <v>45251.923194479168</v>
      </c>
      <c r="B155" s="1" t="s">
        <v>20</v>
      </c>
      <c r="C155" s="1" t="s">
        <v>72</v>
      </c>
      <c r="D155" s="1" t="s">
        <v>55</v>
      </c>
      <c r="E155" s="11" t="s">
        <v>29</v>
      </c>
      <c r="G155" s="1" t="s">
        <v>38</v>
      </c>
      <c r="H155" s="1" t="s">
        <v>46</v>
      </c>
      <c r="I155" s="1"/>
      <c r="J155" s="1"/>
    </row>
    <row r="156" spans="1:10" ht="13" x14ac:dyDescent="0.15">
      <c r="A156" s="2">
        <v>45251.940109432871</v>
      </c>
      <c r="B156" s="1" t="s">
        <v>41</v>
      </c>
      <c r="C156" s="1" t="s">
        <v>21</v>
      </c>
      <c r="D156" s="1" t="s">
        <v>51</v>
      </c>
      <c r="E156" s="11" t="s">
        <v>29</v>
      </c>
      <c r="G156" s="1" t="s">
        <v>38</v>
      </c>
      <c r="H156" s="1" t="s">
        <v>101</v>
      </c>
      <c r="I156" s="1"/>
      <c r="J156" s="1"/>
    </row>
    <row r="157" spans="1:10" ht="13" x14ac:dyDescent="0.15">
      <c r="A157" s="2">
        <v>45251.946196111108</v>
      </c>
      <c r="B157" s="1" t="s">
        <v>20</v>
      </c>
      <c r="C157" s="1" t="s">
        <v>56</v>
      </c>
      <c r="D157" s="1" t="s">
        <v>51</v>
      </c>
      <c r="E157" s="1" t="s">
        <v>27</v>
      </c>
      <c r="F157" s="1" t="s">
        <v>205</v>
      </c>
      <c r="G157" s="1" t="s">
        <v>174</v>
      </c>
      <c r="H157" s="1" t="s">
        <v>206</v>
      </c>
      <c r="I157" s="1"/>
      <c r="J157" s="1"/>
    </row>
    <row r="158" spans="1:10" ht="13" x14ac:dyDescent="0.15">
      <c r="A158" s="2">
        <v>45251.967312106484</v>
      </c>
      <c r="B158" s="1" t="s">
        <v>41</v>
      </c>
      <c r="C158" s="1" t="s">
        <v>21</v>
      </c>
      <c r="D158" s="1" t="s">
        <v>51</v>
      </c>
      <c r="E158" s="11" t="s">
        <v>29</v>
      </c>
      <c r="G158" s="1" t="s">
        <v>38</v>
      </c>
      <c r="H158" s="1" t="s">
        <v>46</v>
      </c>
      <c r="I158" s="1"/>
      <c r="J158" s="1"/>
    </row>
    <row r="159" spans="1:10" ht="13" x14ac:dyDescent="0.15">
      <c r="A159" s="2">
        <v>45252.392325671295</v>
      </c>
      <c r="B159" s="1" t="s">
        <v>20</v>
      </c>
      <c r="C159" s="1" t="s">
        <v>21</v>
      </c>
      <c r="D159" s="1" t="s">
        <v>42</v>
      </c>
      <c r="E159" s="11" t="s">
        <v>29</v>
      </c>
      <c r="G159" s="11" t="s">
        <v>30</v>
      </c>
      <c r="H159" s="1" t="s">
        <v>31</v>
      </c>
      <c r="I159" s="1"/>
      <c r="J159" s="1"/>
    </row>
    <row r="160" spans="1:10" ht="13" x14ac:dyDescent="0.15">
      <c r="A160" s="2">
        <v>45252.445663009261</v>
      </c>
      <c r="B160" s="1" t="s">
        <v>41</v>
      </c>
      <c r="C160" s="1" t="s">
        <v>56</v>
      </c>
      <c r="D160" s="1" t="s">
        <v>51</v>
      </c>
      <c r="E160" s="11" t="s">
        <v>29</v>
      </c>
      <c r="G160" s="7" t="s">
        <v>66</v>
      </c>
      <c r="H160" s="1" t="s">
        <v>46</v>
      </c>
      <c r="I160" s="1"/>
      <c r="J160" s="1"/>
    </row>
    <row r="161" spans="1:10" ht="13" x14ac:dyDescent="0.15">
      <c r="A161" s="2">
        <v>45252.447723391204</v>
      </c>
      <c r="B161" s="1" t="s">
        <v>20</v>
      </c>
      <c r="C161" s="1" t="s">
        <v>75</v>
      </c>
      <c r="D161" s="1" t="s">
        <v>60</v>
      </c>
      <c r="E161" s="11" t="s">
        <v>29</v>
      </c>
      <c r="G161" s="1" t="s">
        <v>38</v>
      </c>
      <c r="H161" s="1" t="s">
        <v>46</v>
      </c>
      <c r="I161" s="1"/>
      <c r="J161" s="1"/>
    </row>
    <row r="162" spans="1:10" ht="13" x14ac:dyDescent="0.15">
      <c r="A162" s="2">
        <v>45252.600042418984</v>
      </c>
      <c r="B162" s="1" t="s">
        <v>41</v>
      </c>
      <c r="C162" s="1" t="s">
        <v>72</v>
      </c>
      <c r="D162" s="1" t="s">
        <v>60</v>
      </c>
      <c r="E162" s="1" t="s">
        <v>27</v>
      </c>
      <c r="F162" s="1" t="s">
        <v>213</v>
      </c>
      <c r="G162" s="1" t="s">
        <v>38</v>
      </c>
      <c r="H162" s="1" t="s">
        <v>46</v>
      </c>
      <c r="I162" s="1"/>
      <c r="J162" s="1"/>
    </row>
    <row r="163" spans="1:10" ht="13" x14ac:dyDescent="0.15">
      <c r="A163" s="2">
        <v>45252.623505532407</v>
      </c>
      <c r="B163" s="1" t="s">
        <v>41</v>
      </c>
      <c r="C163" s="1" t="s">
        <v>77</v>
      </c>
      <c r="D163" s="1" t="s">
        <v>60</v>
      </c>
      <c r="E163" s="11" t="s">
        <v>29</v>
      </c>
      <c r="G163" s="1" t="s">
        <v>38</v>
      </c>
      <c r="H163" s="1" t="s">
        <v>46</v>
      </c>
      <c r="I163" s="1"/>
      <c r="J163" s="1"/>
    </row>
    <row r="164" spans="1:10" ht="13" x14ac:dyDescent="0.15">
      <c r="A164" s="2">
        <v>45252.64937378472</v>
      </c>
      <c r="B164" s="1" t="s">
        <v>41</v>
      </c>
      <c r="C164" s="1" t="s">
        <v>72</v>
      </c>
      <c r="D164" s="1" t="s">
        <v>60</v>
      </c>
      <c r="E164" s="1" t="s">
        <v>27</v>
      </c>
      <c r="F164" s="1" t="s">
        <v>214</v>
      </c>
      <c r="G164" s="1" t="s">
        <v>38</v>
      </c>
      <c r="H164" s="1" t="s">
        <v>46</v>
      </c>
      <c r="I164" s="1"/>
      <c r="J164" s="1"/>
    </row>
    <row r="165" spans="1:10" ht="13" x14ac:dyDescent="0.15">
      <c r="A165" s="2">
        <v>45252.829636319446</v>
      </c>
      <c r="B165" s="1" t="s">
        <v>20</v>
      </c>
      <c r="C165" s="1" t="s">
        <v>72</v>
      </c>
      <c r="D165" s="1" t="s">
        <v>60</v>
      </c>
      <c r="E165" s="11" t="s">
        <v>29</v>
      </c>
      <c r="G165" s="1" t="s">
        <v>38</v>
      </c>
      <c r="H165" s="1" t="s">
        <v>31</v>
      </c>
      <c r="I165" s="1"/>
      <c r="J165" s="1"/>
    </row>
    <row r="166" spans="1:10" ht="13" x14ac:dyDescent="0.15">
      <c r="A166" s="2">
        <v>45254.714148171297</v>
      </c>
      <c r="B166" s="1" t="s">
        <v>41</v>
      </c>
      <c r="C166" s="1" t="s">
        <v>21</v>
      </c>
      <c r="D166" s="1" t="s">
        <v>60</v>
      </c>
      <c r="E166" s="11" t="s">
        <v>29</v>
      </c>
      <c r="G166" s="1" t="s">
        <v>38</v>
      </c>
      <c r="H166" s="1" t="s">
        <v>31</v>
      </c>
      <c r="I166" s="1"/>
      <c r="J166" s="1"/>
    </row>
    <row r="167" spans="1:10" ht="13" x14ac:dyDescent="0.15">
      <c r="A167" s="2">
        <v>45254.71734614583</v>
      </c>
      <c r="B167" s="1" t="s">
        <v>41</v>
      </c>
      <c r="C167" s="1" t="s">
        <v>21</v>
      </c>
      <c r="D167" s="1" t="s">
        <v>42</v>
      </c>
      <c r="E167" s="11" t="s">
        <v>29</v>
      </c>
      <c r="G167" s="1" t="s">
        <v>38</v>
      </c>
      <c r="H167" s="1" t="s">
        <v>31</v>
      </c>
      <c r="I167" s="1"/>
      <c r="J167" s="1"/>
    </row>
    <row r="168" spans="1:10" ht="13" x14ac:dyDescent="0.15">
      <c r="A168" s="2">
        <v>45255.686530439816</v>
      </c>
      <c r="B168" s="1" t="s">
        <v>41</v>
      </c>
      <c r="C168" s="1" t="s">
        <v>21</v>
      </c>
      <c r="D168" s="1" t="s">
        <v>42</v>
      </c>
      <c r="E168" s="11" t="s">
        <v>29</v>
      </c>
      <c r="G168" s="1" t="s">
        <v>38</v>
      </c>
      <c r="H168" s="1" t="s">
        <v>39</v>
      </c>
      <c r="I168" s="1"/>
      <c r="J168" s="1"/>
    </row>
  </sheetData>
  <mergeCells count="2">
    <mergeCell ref="N11:P22"/>
    <mergeCell ref="N36:P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0626-50A2-954D-8B5D-4786E07F8443}">
  <sheetPr>
    <outlinePr summaryBelow="0" summaryRight="0"/>
  </sheetPr>
  <dimension ref="A1:Q168"/>
  <sheetViews>
    <sheetView topLeftCell="D1" workbookViewId="0">
      <pane ySplit="1" topLeftCell="A22" activePane="bottomLeft" state="frozen"/>
      <selection pane="bottomLeft" activeCell="H33" sqref="H33"/>
    </sheetView>
  </sheetViews>
  <sheetFormatPr baseColWidth="10" defaultColWidth="12.6640625" defaultRowHeight="15.75" customHeight="1" x14ac:dyDescent="0.15"/>
  <cols>
    <col min="1" max="3" width="18.83203125" customWidth="1"/>
    <col min="4" max="4" width="57.1640625" customWidth="1"/>
    <col min="5" max="11" width="18.83203125" customWidth="1"/>
  </cols>
  <sheetData>
    <row r="1" spans="1:17" ht="15.75" customHeight="1" x14ac:dyDescent="0.15">
      <c r="A1" s="1" t="s">
        <v>0</v>
      </c>
      <c r="B1" s="1" t="s">
        <v>1</v>
      </c>
      <c r="C1" s="1" t="s">
        <v>2</v>
      </c>
      <c r="D1" s="1" t="s">
        <v>18</v>
      </c>
      <c r="E1" s="1" t="s">
        <v>19</v>
      </c>
    </row>
    <row r="2" spans="1:17" ht="15.75" customHeight="1" x14ac:dyDescent="0.15">
      <c r="A2" s="2">
        <v>45249.684851284721</v>
      </c>
      <c r="B2" s="1" t="s">
        <v>20</v>
      </c>
      <c r="C2" s="1" t="s">
        <v>21</v>
      </c>
      <c r="D2" s="1">
        <v>5</v>
      </c>
      <c r="E2" s="1" t="s">
        <v>27</v>
      </c>
    </row>
    <row r="3" spans="1:17" ht="15.75" customHeight="1" x14ac:dyDescent="0.15">
      <c r="A3" s="2">
        <v>45249.691583240739</v>
      </c>
      <c r="B3" s="1" t="s">
        <v>20</v>
      </c>
      <c r="C3" s="1" t="s">
        <v>21</v>
      </c>
      <c r="D3" s="1">
        <v>5</v>
      </c>
      <c r="E3" s="1" t="s">
        <v>27</v>
      </c>
      <c r="H3" s="32">
        <v>1</v>
      </c>
      <c r="I3" s="33">
        <v>2</v>
      </c>
      <c r="J3" s="32">
        <v>3</v>
      </c>
      <c r="K3" s="32">
        <v>4</v>
      </c>
      <c r="L3" s="32">
        <v>5</v>
      </c>
    </row>
    <row r="4" spans="1:17" ht="15.75" customHeight="1" x14ac:dyDescent="0.15">
      <c r="A4" s="2"/>
      <c r="B4" s="1"/>
      <c r="C4" s="1"/>
      <c r="D4" s="1"/>
      <c r="E4" s="1"/>
      <c r="G4" s="24" t="s">
        <v>225</v>
      </c>
      <c r="H4" s="39">
        <f>0/44</f>
        <v>0</v>
      </c>
      <c r="I4" s="37">
        <f>8/44</f>
        <v>0.18181818181818182</v>
      </c>
      <c r="J4" s="37">
        <f>15/44</f>
        <v>0.34090909090909088</v>
      </c>
      <c r="K4" s="37">
        <f>17/44</f>
        <v>0.38636363636363635</v>
      </c>
      <c r="L4" s="37">
        <f>4/44</f>
        <v>9.0909090909090912E-2</v>
      </c>
    </row>
    <row r="5" spans="1:17" ht="15.75" customHeight="1" x14ac:dyDescent="0.15">
      <c r="A5" s="2">
        <v>45249.8512237963</v>
      </c>
      <c r="B5" s="1" t="s">
        <v>41</v>
      </c>
      <c r="C5" s="1" t="s">
        <v>21</v>
      </c>
      <c r="D5" s="15">
        <v>3</v>
      </c>
      <c r="E5" s="1" t="s">
        <v>27</v>
      </c>
      <c r="G5" s="31" t="s">
        <v>222</v>
      </c>
      <c r="H5" s="37">
        <f>3/91</f>
        <v>3.2967032967032968E-2</v>
      </c>
      <c r="I5" s="37">
        <f>9/91</f>
        <v>9.8901098901098897E-2</v>
      </c>
      <c r="J5" s="38">
        <f>30/91</f>
        <v>0.32967032967032966</v>
      </c>
      <c r="K5" s="37">
        <f>31/91</f>
        <v>0.34065934065934067</v>
      </c>
      <c r="L5" s="37">
        <f>18/91</f>
        <v>0.19780219780219779</v>
      </c>
    </row>
    <row r="6" spans="1:17" ht="15.75" customHeight="1" x14ac:dyDescent="0.15">
      <c r="A6" s="2">
        <v>45249.879953842596</v>
      </c>
      <c r="B6" s="1" t="s">
        <v>41</v>
      </c>
      <c r="C6" s="1" t="s">
        <v>21</v>
      </c>
      <c r="D6" s="15">
        <v>3</v>
      </c>
      <c r="E6" s="1" t="s">
        <v>29</v>
      </c>
      <c r="G6" s="31" t="s">
        <v>241</v>
      </c>
      <c r="H6" s="38">
        <f>6/30</f>
        <v>0.2</v>
      </c>
      <c r="I6" s="37">
        <f>5/30</f>
        <v>0.16666666666666666</v>
      </c>
      <c r="J6" s="37">
        <f>13/30</f>
        <v>0.43333333333333335</v>
      </c>
      <c r="K6" s="38">
        <f>3/30</f>
        <v>0.1</v>
      </c>
      <c r="L6" s="38">
        <f>3/30</f>
        <v>0.1</v>
      </c>
    </row>
    <row r="7" spans="1:17" ht="15.75" customHeight="1" x14ac:dyDescent="0.15">
      <c r="A7" s="2">
        <v>45249.881849537036</v>
      </c>
      <c r="B7" s="1" t="s">
        <v>41</v>
      </c>
      <c r="C7" s="1" t="s">
        <v>21</v>
      </c>
      <c r="D7" s="12">
        <v>1</v>
      </c>
      <c r="E7" s="1" t="s">
        <v>29</v>
      </c>
      <c r="G7" s="24" t="s">
        <v>226</v>
      </c>
      <c r="H7" s="4">
        <v>9</v>
      </c>
      <c r="I7" s="4">
        <v>22</v>
      </c>
      <c r="J7" s="4">
        <v>58</v>
      </c>
      <c r="K7" s="4">
        <v>51</v>
      </c>
      <c r="L7" s="4">
        <v>25</v>
      </c>
    </row>
    <row r="8" spans="1:17" ht="15.75" customHeight="1" x14ac:dyDescent="0.15">
      <c r="A8" s="2">
        <v>45249.883503969904</v>
      </c>
      <c r="B8" s="1" t="s">
        <v>55</v>
      </c>
      <c r="C8" s="1" t="s">
        <v>56</v>
      </c>
      <c r="D8" s="14">
        <v>2</v>
      </c>
      <c r="E8" s="1" t="s">
        <v>29</v>
      </c>
    </row>
    <row r="9" spans="1:17" ht="15.75" customHeight="1" x14ac:dyDescent="0.15">
      <c r="A9" s="2">
        <v>45249.885399872685</v>
      </c>
      <c r="B9" s="1" t="s">
        <v>20</v>
      </c>
      <c r="C9" s="1" t="s">
        <v>21</v>
      </c>
      <c r="D9" s="12">
        <v>1</v>
      </c>
      <c r="E9" s="1" t="s">
        <v>29</v>
      </c>
    </row>
    <row r="10" spans="1:17" ht="15.75" customHeight="1" x14ac:dyDescent="0.15">
      <c r="A10" s="2">
        <v>45249.897932569445</v>
      </c>
      <c r="B10" s="1" t="s">
        <v>20</v>
      </c>
      <c r="C10" s="1" t="s">
        <v>21</v>
      </c>
      <c r="D10" s="1">
        <v>4</v>
      </c>
      <c r="E10" s="1" t="s">
        <v>27</v>
      </c>
    </row>
    <row r="11" spans="1:17" ht="15.75" customHeight="1" x14ac:dyDescent="0.15">
      <c r="A11" s="2">
        <v>45250.468901736109</v>
      </c>
      <c r="B11" s="1" t="s">
        <v>41</v>
      </c>
      <c r="C11" s="1" t="s">
        <v>21</v>
      </c>
      <c r="D11" s="16">
        <v>3</v>
      </c>
      <c r="E11" s="1" t="s">
        <v>27</v>
      </c>
      <c r="M11" s="41" t="s">
        <v>239</v>
      </c>
      <c r="N11" s="42"/>
      <c r="O11" s="42"/>
      <c r="P11" s="42"/>
      <c r="Q11" s="42"/>
    </row>
    <row r="12" spans="1:17" ht="15.75" customHeight="1" x14ac:dyDescent="0.15">
      <c r="A12" s="2">
        <v>45251.397831516202</v>
      </c>
      <c r="B12" s="1" t="s">
        <v>41</v>
      </c>
      <c r="C12" s="1" t="s">
        <v>72</v>
      </c>
      <c r="D12" s="13">
        <v>1</v>
      </c>
      <c r="E12" s="1" t="s">
        <v>29</v>
      </c>
      <c r="M12" s="42"/>
      <c r="N12" s="42"/>
      <c r="O12" s="42"/>
      <c r="P12" s="42"/>
      <c r="Q12" s="42"/>
    </row>
    <row r="13" spans="1:17" ht="15.75" customHeight="1" x14ac:dyDescent="0.15">
      <c r="A13" s="2">
        <v>45251.399566782406</v>
      </c>
      <c r="B13" s="1" t="s">
        <v>41</v>
      </c>
      <c r="C13" s="1" t="s">
        <v>75</v>
      </c>
      <c r="D13" s="16">
        <v>3</v>
      </c>
      <c r="E13" s="1" t="s">
        <v>27</v>
      </c>
      <c r="M13" s="42"/>
      <c r="N13" s="42"/>
      <c r="O13" s="42"/>
      <c r="P13" s="42"/>
      <c r="Q13" s="42"/>
    </row>
    <row r="14" spans="1:17" ht="15.75" customHeight="1" x14ac:dyDescent="0.15">
      <c r="A14" s="2">
        <v>45251.401892511574</v>
      </c>
      <c r="B14" s="1" t="s">
        <v>41</v>
      </c>
      <c r="C14" s="1" t="s">
        <v>77</v>
      </c>
      <c r="D14" s="16">
        <v>3</v>
      </c>
      <c r="E14" s="1" t="s">
        <v>29</v>
      </c>
      <c r="M14" s="42"/>
      <c r="N14" s="42"/>
      <c r="O14" s="42"/>
      <c r="P14" s="42"/>
      <c r="Q14" s="42"/>
    </row>
    <row r="15" spans="1:17" ht="15.75" customHeight="1" x14ac:dyDescent="0.15">
      <c r="A15" s="2">
        <v>45251.404358298612</v>
      </c>
      <c r="B15" s="1" t="s">
        <v>20</v>
      </c>
      <c r="C15" s="1" t="s">
        <v>72</v>
      </c>
      <c r="D15" s="16">
        <v>3</v>
      </c>
      <c r="E15" s="1" t="s">
        <v>27</v>
      </c>
      <c r="M15" s="42"/>
      <c r="N15" s="42"/>
      <c r="O15" s="42"/>
      <c r="P15" s="42"/>
      <c r="Q15" s="42"/>
    </row>
    <row r="16" spans="1:17" ht="15.75" customHeight="1" x14ac:dyDescent="0.15">
      <c r="A16" s="2">
        <v>45251.505007673608</v>
      </c>
      <c r="B16" s="1" t="s">
        <v>20</v>
      </c>
      <c r="C16" s="1" t="s">
        <v>21</v>
      </c>
      <c r="D16" s="14">
        <v>2</v>
      </c>
      <c r="E16" s="1" t="s">
        <v>29</v>
      </c>
      <c r="M16" s="42"/>
      <c r="N16" s="42"/>
      <c r="O16" s="42"/>
      <c r="P16" s="42"/>
      <c r="Q16" s="42"/>
    </row>
    <row r="17" spans="1:17" ht="15.75" customHeight="1" x14ac:dyDescent="0.15">
      <c r="A17" s="2">
        <v>45251.506297604166</v>
      </c>
      <c r="B17" s="1" t="s">
        <v>20</v>
      </c>
      <c r="C17" s="1" t="s">
        <v>21</v>
      </c>
      <c r="D17" s="14">
        <v>2</v>
      </c>
      <c r="E17" s="1" t="s">
        <v>29</v>
      </c>
      <c r="M17" s="42"/>
      <c r="N17" s="42"/>
      <c r="O17" s="42"/>
      <c r="P17" s="42"/>
      <c r="Q17" s="42"/>
    </row>
    <row r="18" spans="1:17" ht="15.75" customHeight="1" x14ac:dyDescent="0.15">
      <c r="A18" s="2">
        <v>45251.507252604162</v>
      </c>
      <c r="B18" s="1" t="s">
        <v>41</v>
      </c>
      <c r="C18" s="1" t="s">
        <v>21</v>
      </c>
      <c r="D18" s="1">
        <v>4</v>
      </c>
      <c r="E18" s="1" t="s">
        <v>27</v>
      </c>
      <c r="M18" s="42"/>
      <c r="N18" s="42"/>
      <c r="O18" s="42"/>
      <c r="P18" s="42"/>
      <c r="Q18" s="42"/>
    </row>
    <row r="19" spans="1:17" ht="15.75" customHeight="1" x14ac:dyDescent="0.15">
      <c r="A19" s="2">
        <v>45251.509139189817</v>
      </c>
      <c r="B19" s="1" t="s">
        <v>41</v>
      </c>
      <c r="C19" s="1" t="s">
        <v>21</v>
      </c>
      <c r="D19" s="1">
        <v>4</v>
      </c>
      <c r="E19" s="1" t="s">
        <v>27</v>
      </c>
      <c r="M19" s="42"/>
      <c r="N19" s="42"/>
      <c r="O19" s="42"/>
      <c r="P19" s="42"/>
      <c r="Q19" s="42"/>
    </row>
    <row r="20" spans="1:17" ht="15.75" customHeight="1" x14ac:dyDescent="0.15">
      <c r="A20" s="2">
        <v>45251.510488784726</v>
      </c>
      <c r="B20" s="1" t="s">
        <v>20</v>
      </c>
      <c r="C20" s="1" t="s">
        <v>21</v>
      </c>
      <c r="D20" s="16">
        <v>3</v>
      </c>
      <c r="E20" s="1" t="s">
        <v>29</v>
      </c>
      <c r="M20" s="42"/>
      <c r="N20" s="42"/>
      <c r="O20" s="42"/>
      <c r="P20" s="42"/>
      <c r="Q20" s="42"/>
    </row>
    <row r="21" spans="1:17" ht="15.75" customHeight="1" x14ac:dyDescent="0.15">
      <c r="A21" s="2">
        <v>45251.512181435188</v>
      </c>
      <c r="B21" s="1" t="s">
        <v>41</v>
      </c>
      <c r="C21" s="1" t="s">
        <v>21</v>
      </c>
      <c r="D21" s="1">
        <v>5</v>
      </c>
      <c r="E21" s="1" t="s">
        <v>27</v>
      </c>
      <c r="M21" s="42"/>
      <c r="N21" s="42"/>
      <c r="O21" s="42"/>
      <c r="P21" s="42"/>
      <c r="Q21" s="42"/>
    </row>
    <row r="22" spans="1:17" ht="15.75" customHeight="1" x14ac:dyDescent="0.15">
      <c r="A22" s="2">
        <v>45251.515609791662</v>
      </c>
      <c r="B22" s="1" t="s">
        <v>41</v>
      </c>
      <c r="C22" s="1" t="s">
        <v>21</v>
      </c>
      <c r="D22" s="1">
        <v>4</v>
      </c>
      <c r="E22" s="1" t="s">
        <v>29</v>
      </c>
      <c r="M22" s="42"/>
      <c r="N22" s="42"/>
      <c r="O22" s="42"/>
      <c r="P22" s="42"/>
      <c r="Q22" s="42"/>
    </row>
    <row r="23" spans="1:17" ht="15.75" customHeight="1" x14ac:dyDescent="0.15">
      <c r="A23" s="2">
        <v>45251.515700150463</v>
      </c>
      <c r="B23" s="1" t="s">
        <v>41</v>
      </c>
      <c r="C23" s="1" t="s">
        <v>21</v>
      </c>
      <c r="D23" s="14">
        <v>2</v>
      </c>
      <c r="E23" s="1" t="s">
        <v>29</v>
      </c>
    </row>
    <row r="24" spans="1:17" ht="15.75" customHeight="1" x14ac:dyDescent="0.15">
      <c r="A24" s="2">
        <v>45251.518362789357</v>
      </c>
      <c r="B24" s="1" t="s">
        <v>20</v>
      </c>
      <c r="C24" s="1" t="s">
        <v>21</v>
      </c>
      <c r="D24" s="16">
        <v>3</v>
      </c>
      <c r="E24" s="1" t="s">
        <v>27</v>
      </c>
    </row>
    <row r="25" spans="1:17" ht="15.75" customHeight="1" x14ac:dyDescent="0.15">
      <c r="A25" s="2">
        <v>45251.518999953703</v>
      </c>
      <c r="B25" s="1" t="s">
        <v>41</v>
      </c>
      <c r="C25" s="1" t="s">
        <v>21</v>
      </c>
      <c r="D25" s="16">
        <v>3</v>
      </c>
      <c r="E25" s="1" t="s">
        <v>27</v>
      </c>
    </row>
    <row r="26" spans="1:17" ht="15.75" customHeight="1" x14ac:dyDescent="0.15">
      <c r="A26" s="2">
        <v>45251.519056990743</v>
      </c>
      <c r="B26" s="1" t="s">
        <v>20</v>
      </c>
      <c r="C26" s="1" t="s">
        <v>21</v>
      </c>
      <c r="D26" s="14">
        <v>2</v>
      </c>
      <c r="E26" s="1" t="s">
        <v>29</v>
      </c>
    </row>
    <row r="27" spans="1:17" ht="15.75" customHeight="1" x14ac:dyDescent="0.15">
      <c r="A27" s="2">
        <v>45251.520263055558</v>
      </c>
      <c r="B27" s="1" t="s">
        <v>41</v>
      </c>
      <c r="C27" s="1" t="s">
        <v>21</v>
      </c>
      <c r="D27" s="1">
        <v>4</v>
      </c>
      <c r="E27" s="1" t="s">
        <v>29</v>
      </c>
    </row>
    <row r="28" spans="1:17" ht="15.75" customHeight="1" x14ac:dyDescent="0.15">
      <c r="A28" s="2">
        <v>45251.522630335647</v>
      </c>
      <c r="B28" s="1" t="s">
        <v>41</v>
      </c>
      <c r="C28" s="1" t="s">
        <v>21</v>
      </c>
      <c r="D28" s="1">
        <v>4</v>
      </c>
      <c r="E28" s="1" t="s">
        <v>27</v>
      </c>
    </row>
    <row r="29" spans="1:17" ht="15.75" customHeight="1" x14ac:dyDescent="0.15">
      <c r="A29" s="2">
        <v>45251.523428912042</v>
      </c>
      <c r="B29" s="1" t="s">
        <v>20</v>
      </c>
      <c r="C29" s="1" t="s">
        <v>21</v>
      </c>
      <c r="D29" s="14">
        <v>2</v>
      </c>
      <c r="E29" s="1" t="s">
        <v>27</v>
      </c>
    </row>
    <row r="30" spans="1:17" ht="15.75" customHeight="1" x14ac:dyDescent="0.15">
      <c r="A30" s="2">
        <v>45251.523980266204</v>
      </c>
      <c r="B30" s="1" t="s">
        <v>41</v>
      </c>
      <c r="C30" s="1" t="s">
        <v>21</v>
      </c>
      <c r="D30" s="1">
        <v>5</v>
      </c>
      <c r="E30" s="1" t="s">
        <v>27</v>
      </c>
    </row>
    <row r="31" spans="1:17" ht="15.75" customHeight="1" x14ac:dyDescent="0.15">
      <c r="A31" s="2">
        <v>45251.52402783565</v>
      </c>
      <c r="B31" s="1" t="s">
        <v>41</v>
      </c>
      <c r="C31" s="1" t="s">
        <v>21</v>
      </c>
      <c r="D31" s="1">
        <v>5</v>
      </c>
      <c r="E31" s="1" t="s">
        <v>27</v>
      </c>
      <c r="H31" s="29" t="s">
        <v>234</v>
      </c>
      <c r="I31" s="29" t="s">
        <v>233</v>
      </c>
    </row>
    <row r="32" spans="1:17" ht="15.75" customHeight="1" x14ac:dyDescent="0.15">
      <c r="A32" s="2"/>
      <c r="B32" s="1"/>
      <c r="C32" s="1"/>
      <c r="D32" s="1"/>
      <c r="E32" s="1"/>
      <c r="G32" s="30" t="s">
        <v>225</v>
      </c>
      <c r="H32" s="40">
        <f>29/44</f>
        <v>0.65909090909090906</v>
      </c>
      <c r="I32" s="40">
        <f>15/44</f>
        <v>0.34090909090909088</v>
      </c>
    </row>
    <row r="33" spans="1:16" ht="15.75" customHeight="1" x14ac:dyDescent="0.15">
      <c r="A33" s="2">
        <v>45251.528185972224</v>
      </c>
      <c r="B33" s="1" t="s">
        <v>41</v>
      </c>
      <c r="C33" s="1" t="s">
        <v>21</v>
      </c>
      <c r="D33" s="16">
        <v>3</v>
      </c>
      <c r="E33" s="1" t="s">
        <v>27</v>
      </c>
      <c r="G33" s="31" t="s">
        <v>222</v>
      </c>
      <c r="H33" s="40">
        <f>69/91</f>
        <v>0.75824175824175821</v>
      </c>
      <c r="I33" s="37">
        <f>22/91</f>
        <v>0.24175824175824176</v>
      </c>
    </row>
    <row r="34" spans="1:16" ht="15.75" customHeight="1" x14ac:dyDescent="0.15">
      <c r="A34" s="2">
        <v>45251.52832420139</v>
      </c>
      <c r="B34" s="1" t="s">
        <v>41</v>
      </c>
      <c r="C34" s="1" t="s">
        <v>21</v>
      </c>
      <c r="D34" s="1">
        <v>4</v>
      </c>
      <c r="E34" s="1" t="s">
        <v>27</v>
      </c>
      <c r="G34" s="31" t="s">
        <v>241</v>
      </c>
      <c r="H34" s="38">
        <f>12/30</f>
        <v>0.4</v>
      </c>
      <c r="I34" s="38">
        <f>18/30</f>
        <v>0.6</v>
      </c>
    </row>
    <row r="35" spans="1:16" ht="15.75" customHeight="1" x14ac:dyDescent="0.15">
      <c r="A35" s="2">
        <v>45251.528365509264</v>
      </c>
      <c r="B35" s="1" t="s">
        <v>41</v>
      </c>
      <c r="C35" s="1" t="s">
        <v>21</v>
      </c>
      <c r="D35" s="1">
        <v>5</v>
      </c>
      <c r="E35" s="1" t="s">
        <v>27</v>
      </c>
      <c r="G35" s="30" t="s">
        <v>226</v>
      </c>
      <c r="H35" s="4">
        <v>110</v>
      </c>
      <c r="I35" s="4">
        <v>55</v>
      </c>
    </row>
    <row r="36" spans="1:16" ht="15.75" customHeight="1" x14ac:dyDescent="0.15">
      <c r="A36" s="2">
        <v>45251.529203032405</v>
      </c>
      <c r="B36" s="1" t="s">
        <v>41</v>
      </c>
      <c r="C36" s="1" t="s">
        <v>21</v>
      </c>
      <c r="D36" s="16">
        <v>3</v>
      </c>
      <c r="E36" s="1" t="s">
        <v>27</v>
      </c>
    </row>
    <row r="37" spans="1:16" ht="15.75" customHeight="1" x14ac:dyDescent="0.15">
      <c r="A37" s="2">
        <v>45251.529491354166</v>
      </c>
      <c r="B37" s="1" t="s">
        <v>41</v>
      </c>
      <c r="C37" s="1" t="s">
        <v>21</v>
      </c>
      <c r="D37" s="1">
        <v>5</v>
      </c>
      <c r="E37" s="1" t="s">
        <v>27</v>
      </c>
    </row>
    <row r="38" spans="1:16" ht="15.75" customHeight="1" x14ac:dyDescent="0.15">
      <c r="A38" s="2">
        <v>45251.530792002319</v>
      </c>
      <c r="B38" s="1" t="s">
        <v>20</v>
      </c>
      <c r="C38" s="1" t="s">
        <v>21</v>
      </c>
      <c r="D38" s="16">
        <v>3</v>
      </c>
      <c r="E38" s="1" t="s">
        <v>27</v>
      </c>
      <c r="L38" s="41" t="s">
        <v>240</v>
      </c>
      <c r="M38" s="42"/>
      <c r="N38" s="42"/>
      <c r="O38" s="42"/>
      <c r="P38" s="42"/>
    </row>
    <row r="39" spans="1:16" ht="15.75" customHeight="1" x14ac:dyDescent="0.15">
      <c r="A39" s="2">
        <v>45251.533557129631</v>
      </c>
      <c r="B39" s="1" t="s">
        <v>41</v>
      </c>
      <c r="C39" s="1" t="s">
        <v>21</v>
      </c>
      <c r="D39" s="1">
        <v>5</v>
      </c>
      <c r="E39" s="1" t="s">
        <v>27</v>
      </c>
      <c r="L39" s="42"/>
      <c r="M39" s="42"/>
      <c r="N39" s="42"/>
      <c r="O39" s="42"/>
      <c r="P39" s="42"/>
    </row>
    <row r="40" spans="1:16" ht="15.75" customHeight="1" x14ac:dyDescent="0.15">
      <c r="A40" s="2">
        <v>45251.534042685184</v>
      </c>
      <c r="B40" s="1" t="s">
        <v>41</v>
      </c>
      <c r="C40" s="1" t="s">
        <v>21</v>
      </c>
      <c r="D40" s="1">
        <v>5</v>
      </c>
      <c r="E40" s="1" t="s">
        <v>27</v>
      </c>
      <c r="L40" s="42"/>
      <c r="M40" s="42"/>
      <c r="N40" s="42"/>
      <c r="O40" s="42"/>
      <c r="P40" s="42"/>
    </row>
    <row r="41" spans="1:16" ht="15.75" customHeight="1" x14ac:dyDescent="0.15">
      <c r="A41" s="2">
        <v>45251.535046550925</v>
      </c>
      <c r="B41" s="1" t="s">
        <v>41</v>
      </c>
      <c r="C41" s="1" t="s">
        <v>75</v>
      </c>
      <c r="D41" s="16">
        <v>3</v>
      </c>
      <c r="E41" s="1" t="s">
        <v>29</v>
      </c>
      <c r="L41" s="42"/>
      <c r="M41" s="42"/>
      <c r="N41" s="42"/>
      <c r="O41" s="42"/>
      <c r="P41" s="42"/>
    </row>
    <row r="42" spans="1:16" ht="15.75" customHeight="1" x14ac:dyDescent="0.15">
      <c r="A42" s="2">
        <v>45251.537329537037</v>
      </c>
      <c r="B42" s="1" t="s">
        <v>20</v>
      </c>
      <c r="C42" s="1" t="s">
        <v>21</v>
      </c>
      <c r="D42" s="1">
        <v>4</v>
      </c>
      <c r="E42" s="1" t="s">
        <v>27</v>
      </c>
      <c r="L42" s="42"/>
      <c r="M42" s="42"/>
      <c r="N42" s="42"/>
      <c r="O42" s="42"/>
      <c r="P42" s="42"/>
    </row>
    <row r="43" spans="1:16" ht="15.75" customHeight="1" x14ac:dyDescent="0.15">
      <c r="A43" s="2">
        <v>45251.537389131947</v>
      </c>
      <c r="B43" s="1" t="s">
        <v>41</v>
      </c>
      <c r="C43" s="1" t="s">
        <v>77</v>
      </c>
      <c r="D43" s="13">
        <v>1</v>
      </c>
      <c r="E43" s="1" t="s">
        <v>27</v>
      </c>
      <c r="L43" s="42"/>
      <c r="M43" s="42"/>
      <c r="N43" s="42"/>
      <c r="O43" s="42"/>
      <c r="P43" s="42"/>
    </row>
    <row r="44" spans="1:16" ht="15.75" customHeight="1" x14ac:dyDescent="0.15">
      <c r="A44" s="2">
        <v>45251.543352662033</v>
      </c>
      <c r="B44" s="1" t="s">
        <v>20</v>
      </c>
      <c r="C44" s="1" t="s">
        <v>21</v>
      </c>
      <c r="D44" s="16">
        <v>3</v>
      </c>
      <c r="E44" s="1" t="s">
        <v>29</v>
      </c>
      <c r="L44" s="42"/>
      <c r="M44" s="42"/>
      <c r="N44" s="42"/>
      <c r="O44" s="42"/>
      <c r="P44" s="42"/>
    </row>
    <row r="45" spans="1:16" ht="15.75" customHeight="1" x14ac:dyDescent="0.15">
      <c r="A45" s="2">
        <v>45251.548824305559</v>
      </c>
      <c r="B45" s="1" t="s">
        <v>41</v>
      </c>
      <c r="C45" s="1" t="s">
        <v>21</v>
      </c>
      <c r="D45" s="1">
        <v>5</v>
      </c>
      <c r="E45" s="1" t="s">
        <v>27</v>
      </c>
      <c r="L45" s="42"/>
      <c r="M45" s="42"/>
      <c r="N45" s="42"/>
      <c r="O45" s="42"/>
      <c r="P45" s="42"/>
    </row>
    <row r="46" spans="1:16" ht="15.75" customHeight="1" x14ac:dyDescent="0.15">
      <c r="A46" s="2">
        <v>45251.550079502311</v>
      </c>
      <c r="B46" s="1" t="s">
        <v>20</v>
      </c>
      <c r="C46" s="1" t="s">
        <v>21</v>
      </c>
      <c r="D46" s="14">
        <v>2</v>
      </c>
      <c r="E46" s="1" t="s">
        <v>27</v>
      </c>
      <c r="L46" s="42"/>
      <c r="M46" s="42"/>
      <c r="N46" s="42"/>
      <c r="O46" s="42"/>
      <c r="P46" s="42"/>
    </row>
    <row r="47" spans="1:16" ht="15.75" customHeight="1" x14ac:dyDescent="0.15">
      <c r="A47" s="2">
        <v>45251.551733263885</v>
      </c>
      <c r="B47" s="1" t="s">
        <v>41</v>
      </c>
      <c r="C47" s="1" t="s">
        <v>21</v>
      </c>
      <c r="D47" s="16">
        <v>3</v>
      </c>
      <c r="E47" s="1" t="s">
        <v>27</v>
      </c>
      <c r="L47" s="42"/>
      <c r="M47" s="42"/>
      <c r="N47" s="42"/>
      <c r="O47" s="42"/>
      <c r="P47" s="42"/>
    </row>
    <row r="48" spans="1:16" ht="15.75" customHeight="1" x14ac:dyDescent="0.15">
      <c r="A48" s="2">
        <v>45251.552271354165</v>
      </c>
      <c r="B48" s="1" t="s">
        <v>41</v>
      </c>
      <c r="C48" s="1" t="s">
        <v>21</v>
      </c>
      <c r="D48" s="16">
        <v>3</v>
      </c>
      <c r="E48" s="1" t="s">
        <v>29</v>
      </c>
      <c r="L48" s="42"/>
      <c r="M48" s="42"/>
      <c r="N48" s="42"/>
      <c r="O48" s="42"/>
      <c r="P48" s="42"/>
    </row>
    <row r="49" spans="1:16" ht="15.75" customHeight="1" x14ac:dyDescent="0.15">
      <c r="A49" s="2">
        <v>45251.553336099532</v>
      </c>
      <c r="B49" s="1" t="s">
        <v>20</v>
      </c>
      <c r="C49" s="1" t="s">
        <v>21</v>
      </c>
      <c r="D49" s="1">
        <v>5</v>
      </c>
      <c r="E49" s="1" t="s">
        <v>27</v>
      </c>
      <c r="L49" s="42"/>
      <c r="M49" s="42"/>
      <c r="N49" s="42"/>
      <c r="O49" s="42"/>
      <c r="P49" s="42"/>
    </row>
    <row r="50" spans="1:16" ht="15.75" customHeight="1" x14ac:dyDescent="0.15">
      <c r="A50" s="2">
        <v>45251.555836203705</v>
      </c>
      <c r="B50" s="1" t="s">
        <v>41</v>
      </c>
      <c r="C50" s="1" t="s">
        <v>75</v>
      </c>
      <c r="D50" s="16">
        <v>3</v>
      </c>
      <c r="E50" s="1" t="s">
        <v>27</v>
      </c>
      <c r="L50" s="42"/>
      <c r="M50" s="42"/>
      <c r="N50" s="42"/>
      <c r="O50" s="42"/>
      <c r="P50" s="42"/>
    </row>
    <row r="51" spans="1:16" ht="15.75" customHeight="1" x14ac:dyDescent="0.15">
      <c r="A51" s="2">
        <v>45251.565920324079</v>
      </c>
      <c r="B51" s="1" t="s">
        <v>41</v>
      </c>
      <c r="C51" s="1" t="s">
        <v>21</v>
      </c>
      <c r="D51" s="16">
        <v>3</v>
      </c>
      <c r="E51" s="1" t="s">
        <v>27</v>
      </c>
      <c r="L51" s="42"/>
      <c r="M51" s="42"/>
      <c r="N51" s="42"/>
      <c r="O51" s="42"/>
      <c r="P51" s="42"/>
    </row>
    <row r="52" spans="1:16" ht="15.75" customHeight="1" x14ac:dyDescent="0.15">
      <c r="A52" s="2">
        <v>45251.56628082176</v>
      </c>
      <c r="B52" s="1" t="s">
        <v>20</v>
      </c>
      <c r="C52" s="1" t="s">
        <v>21</v>
      </c>
      <c r="D52" s="1">
        <v>5</v>
      </c>
      <c r="E52" s="1" t="s">
        <v>27</v>
      </c>
    </row>
    <row r="53" spans="1:16" ht="15.75" customHeight="1" x14ac:dyDescent="0.15">
      <c r="A53" s="2">
        <v>45251.569686979172</v>
      </c>
      <c r="B53" s="1" t="s">
        <v>41</v>
      </c>
      <c r="C53" s="1" t="s">
        <v>21</v>
      </c>
      <c r="D53" s="1">
        <v>4</v>
      </c>
      <c r="E53" s="1" t="s">
        <v>27</v>
      </c>
    </row>
    <row r="54" spans="1:16" ht="15.75" customHeight="1" x14ac:dyDescent="0.15">
      <c r="A54" s="2">
        <v>45251.572188530088</v>
      </c>
      <c r="B54" s="1" t="s">
        <v>41</v>
      </c>
      <c r="C54" s="1" t="s">
        <v>21</v>
      </c>
      <c r="D54" s="16">
        <v>3</v>
      </c>
      <c r="E54" s="1" t="s">
        <v>29</v>
      </c>
    </row>
    <row r="55" spans="1:16" ht="13" x14ac:dyDescent="0.15">
      <c r="A55" s="2">
        <v>45251.572553344908</v>
      </c>
      <c r="B55" s="1" t="s">
        <v>41</v>
      </c>
      <c r="C55" s="1" t="s">
        <v>75</v>
      </c>
      <c r="D55" s="13">
        <v>1</v>
      </c>
      <c r="E55" s="1" t="s">
        <v>29</v>
      </c>
    </row>
    <row r="56" spans="1:16" ht="13" x14ac:dyDescent="0.15">
      <c r="A56" s="2">
        <v>45251.5727687037</v>
      </c>
      <c r="B56" s="1" t="s">
        <v>20</v>
      </c>
      <c r="C56" s="1" t="s">
        <v>56</v>
      </c>
      <c r="D56" s="1">
        <v>4</v>
      </c>
      <c r="E56" s="1" t="s">
        <v>27</v>
      </c>
    </row>
    <row r="57" spans="1:16" ht="13" x14ac:dyDescent="0.15">
      <c r="A57" s="2">
        <v>45251.57277353009</v>
      </c>
      <c r="B57" s="1" t="s">
        <v>41</v>
      </c>
      <c r="C57" s="1" t="s">
        <v>21</v>
      </c>
      <c r="D57" s="1">
        <v>4</v>
      </c>
      <c r="E57" s="1" t="s">
        <v>27</v>
      </c>
    </row>
    <row r="58" spans="1:16" ht="13" x14ac:dyDescent="0.15">
      <c r="A58" s="2">
        <v>45251.572801527778</v>
      </c>
      <c r="B58" s="1" t="s">
        <v>20</v>
      </c>
      <c r="C58" s="1" t="s">
        <v>21</v>
      </c>
      <c r="D58" s="1">
        <v>4</v>
      </c>
      <c r="E58" s="1" t="s">
        <v>27</v>
      </c>
    </row>
    <row r="59" spans="1:16" ht="13" x14ac:dyDescent="0.15">
      <c r="A59" s="2">
        <v>45251.573172986115</v>
      </c>
      <c r="B59" s="1" t="s">
        <v>41</v>
      </c>
      <c r="C59" s="1" t="s">
        <v>21</v>
      </c>
      <c r="D59" s="1">
        <v>4</v>
      </c>
      <c r="E59" s="1" t="s">
        <v>27</v>
      </c>
    </row>
    <row r="60" spans="1:16" ht="13" x14ac:dyDescent="0.15">
      <c r="A60" s="2">
        <v>45251.573509872687</v>
      </c>
      <c r="B60" s="1" t="s">
        <v>41</v>
      </c>
      <c r="C60" s="1" t="s">
        <v>21</v>
      </c>
      <c r="D60" s="16">
        <v>3</v>
      </c>
      <c r="E60" s="1" t="s">
        <v>27</v>
      </c>
    </row>
    <row r="61" spans="1:16" ht="13" x14ac:dyDescent="0.15">
      <c r="A61" s="2">
        <v>45251.573550925925</v>
      </c>
      <c r="B61" s="1" t="s">
        <v>41</v>
      </c>
      <c r="C61" s="1" t="s">
        <v>21</v>
      </c>
      <c r="D61" s="1">
        <v>4</v>
      </c>
      <c r="E61" s="1" t="s">
        <v>27</v>
      </c>
    </row>
    <row r="62" spans="1:16" ht="13" x14ac:dyDescent="0.15">
      <c r="A62" s="2">
        <v>45251.573635497683</v>
      </c>
      <c r="B62" s="1" t="s">
        <v>41</v>
      </c>
      <c r="C62" s="1" t="s">
        <v>21</v>
      </c>
      <c r="D62" s="1">
        <v>4</v>
      </c>
      <c r="E62" s="1" t="s">
        <v>27</v>
      </c>
    </row>
    <row r="63" spans="1:16" ht="13" x14ac:dyDescent="0.15">
      <c r="A63" s="2">
        <v>45251.573923240736</v>
      </c>
      <c r="B63" s="1" t="s">
        <v>41</v>
      </c>
      <c r="C63" s="1" t="s">
        <v>21</v>
      </c>
      <c r="D63" s="1">
        <v>4</v>
      </c>
      <c r="E63" s="1" t="s">
        <v>27</v>
      </c>
    </row>
    <row r="64" spans="1:16" ht="13" x14ac:dyDescent="0.15">
      <c r="A64" s="2">
        <v>45251.57401236111</v>
      </c>
      <c r="B64" s="1" t="s">
        <v>20</v>
      </c>
      <c r="C64" s="1" t="s">
        <v>21</v>
      </c>
      <c r="D64" s="16">
        <v>3</v>
      </c>
      <c r="E64" s="1" t="s">
        <v>29</v>
      </c>
    </row>
    <row r="65" spans="1:5" ht="13" x14ac:dyDescent="0.15">
      <c r="A65" s="2">
        <v>45251.574288703705</v>
      </c>
      <c r="B65" s="1" t="s">
        <v>41</v>
      </c>
      <c r="C65" s="1" t="s">
        <v>56</v>
      </c>
      <c r="D65" s="1">
        <v>4</v>
      </c>
      <c r="E65" s="1" t="s">
        <v>27</v>
      </c>
    </row>
    <row r="66" spans="1:5" ht="13" x14ac:dyDescent="0.15">
      <c r="A66" s="2">
        <v>45251.574362858795</v>
      </c>
      <c r="B66" s="1" t="s">
        <v>41</v>
      </c>
      <c r="C66" s="1" t="s">
        <v>56</v>
      </c>
      <c r="D66" s="16">
        <v>3</v>
      </c>
      <c r="E66" s="1" t="s">
        <v>29</v>
      </c>
    </row>
    <row r="67" spans="1:5" ht="13" x14ac:dyDescent="0.15">
      <c r="A67" s="2">
        <v>45251.574598113424</v>
      </c>
      <c r="B67" s="1" t="s">
        <v>41</v>
      </c>
      <c r="C67" s="1" t="s">
        <v>21</v>
      </c>
      <c r="D67" s="16">
        <v>3</v>
      </c>
      <c r="E67" s="1" t="s">
        <v>29</v>
      </c>
    </row>
    <row r="68" spans="1:5" ht="13" x14ac:dyDescent="0.15">
      <c r="A68" s="2">
        <v>45251.574656921293</v>
      </c>
      <c r="B68" s="1" t="s">
        <v>41</v>
      </c>
      <c r="C68" s="1" t="s">
        <v>56</v>
      </c>
      <c r="D68" s="16">
        <v>3</v>
      </c>
      <c r="E68" s="1" t="s">
        <v>27</v>
      </c>
    </row>
    <row r="69" spans="1:5" ht="13" x14ac:dyDescent="0.15">
      <c r="A69" s="2">
        <v>45251.574717384261</v>
      </c>
      <c r="B69" s="1" t="s">
        <v>41</v>
      </c>
      <c r="C69" s="1" t="s">
        <v>56</v>
      </c>
      <c r="D69" s="16">
        <v>3</v>
      </c>
      <c r="E69" s="1" t="s">
        <v>27</v>
      </c>
    </row>
    <row r="70" spans="1:5" ht="13" x14ac:dyDescent="0.15">
      <c r="A70" s="2">
        <v>45251.574888287039</v>
      </c>
      <c r="B70" s="1" t="s">
        <v>41</v>
      </c>
      <c r="C70" s="1" t="s">
        <v>56</v>
      </c>
      <c r="D70" s="1">
        <v>4</v>
      </c>
      <c r="E70" s="1" t="s">
        <v>29</v>
      </c>
    </row>
    <row r="71" spans="1:5" ht="13" x14ac:dyDescent="0.15">
      <c r="A71" s="2">
        <v>45251.575058078699</v>
      </c>
      <c r="B71" s="1" t="s">
        <v>20</v>
      </c>
      <c r="C71" s="1" t="s">
        <v>72</v>
      </c>
      <c r="D71" s="14">
        <v>2</v>
      </c>
      <c r="E71" s="1" t="s">
        <v>29</v>
      </c>
    </row>
    <row r="72" spans="1:5" ht="13" x14ac:dyDescent="0.15">
      <c r="A72" s="2">
        <v>45251.57547408565</v>
      </c>
      <c r="B72" s="1" t="s">
        <v>41</v>
      </c>
      <c r="C72" s="1" t="s">
        <v>56</v>
      </c>
      <c r="D72" s="16">
        <v>3</v>
      </c>
      <c r="E72" s="1" t="s">
        <v>27</v>
      </c>
    </row>
    <row r="73" spans="1:5" ht="13" x14ac:dyDescent="0.15">
      <c r="A73" s="2">
        <v>45251.575524965279</v>
      </c>
      <c r="B73" s="1" t="s">
        <v>20</v>
      </c>
      <c r="C73" s="1" t="s">
        <v>21</v>
      </c>
      <c r="D73" s="14">
        <v>2</v>
      </c>
      <c r="E73" s="1" t="s">
        <v>27</v>
      </c>
    </row>
    <row r="74" spans="1:5" ht="13" x14ac:dyDescent="0.15">
      <c r="A74" s="2">
        <v>45251.576024421302</v>
      </c>
      <c r="B74" s="1" t="s">
        <v>41</v>
      </c>
      <c r="C74" s="1" t="s">
        <v>56</v>
      </c>
      <c r="D74" s="1">
        <v>4</v>
      </c>
      <c r="E74" s="1" t="s">
        <v>27</v>
      </c>
    </row>
    <row r="75" spans="1:5" ht="13" x14ac:dyDescent="0.15">
      <c r="A75" s="2">
        <v>45251.576357858794</v>
      </c>
      <c r="B75" s="1" t="s">
        <v>41</v>
      </c>
      <c r="C75" s="1" t="s">
        <v>56</v>
      </c>
      <c r="D75" s="16">
        <v>3</v>
      </c>
      <c r="E75" s="1" t="s">
        <v>27</v>
      </c>
    </row>
    <row r="76" spans="1:5" ht="13" x14ac:dyDescent="0.15">
      <c r="A76" s="2">
        <v>45251.576561678245</v>
      </c>
      <c r="B76" s="1" t="s">
        <v>41</v>
      </c>
      <c r="C76" s="1" t="s">
        <v>21</v>
      </c>
      <c r="D76" s="16">
        <v>3</v>
      </c>
      <c r="E76" s="1" t="s">
        <v>27</v>
      </c>
    </row>
    <row r="77" spans="1:5" ht="13" x14ac:dyDescent="0.15">
      <c r="A77" s="2">
        <v>45251.577017731484</v>
      </c>
      <c r="B77" s="1" t="s">
        <v>20</v>
      </c>
      <c r="C77" s="1" t="s">
        <v>56</v>
      </c>
      <c r="D77" s="1">
        <v>5</v>
      </c>
      <c r="E77" s="1" t="s">
        <v>27</v>
      </c>
    </row>
    <row r="78" spans="1:5" ht="13" x14ac:dyDescent="0.15">
      <c r="A78" s="2">
        <v>45251.577120057875</v>
      </c>
      <c r="B78" s="1" t="s">
        <v>20</v>
      </c>
      <c r="C78" s="1" t="s">
        <v>56</v>
      </c>
      <c r="D78" s="1">
        <v>4</v>
      </c>
      <c r="E78" s="1" t="s">
        <v>27</v>
      </c>
    </row>
    <row r="79" spans="1:5" ht="13" x14ac:dyDescent="0.15">
      <c r="A79" s="2">
        <v>45251.57730524306</v>
      </c>
      <c r="B79" s="1" t="s">
        <v>41</v>
      </c>
      <c r="C79" s="1" t="s">
        <v>21</v>
      </c>
      <c r="D79" s="1">
        <v>4</v>
      </c>
      <c r="E79" s="1" t="s">
        <v>27</v>
      </c>
    </row>
    <row r="80" spans="1:5" ht="13" x14ac:dyDescent="0.15">
      <c r="A80" s="2">
        <v>45251.57745582176</v>
      </c>
      <c r="B80" s="1" t="s">
        <v>20</v>
      </c>
      <c r="C80" s="1" t="s">
        <v>56</v>
      </c>
      <c r="D80" s="16">
        <v>3</v>
      </c>
      <c r="E80" s="1" t="s">
        <v>27</v>
      </c>
    </row>
    <row r="81" spans="1:5" ht="13" x14ac:dyDescent="0.15">
      <c r="A81" s="2">
        <v>45251.577469525466</v>
      </c>
      <c r="B81" s="1" t="s">
        <v>20</v>
      </c>
      <c r="C81" s="1" t="s">
        <v>56</v>
      </c>
      <c r="D81" s="1">
        <v>4</v>
      </c>
      <c r="E81" s="1" t="s">
        <v>29</v>
      </c>
    </row>
    <row r="82" spans="1:5" ht="13" x14ac:dyDescent="0.15">
      <c r="A82" s="2">
        <v>45251.577569594912</v>
      </c>
      <c r="B82" s="1" t="s">
        <v>20</v>
      </c>
      <c r="C82" s="1" t="s">
        <v>56</v>
      </c>
      <c r="D82" s="16">
        <v>3</v>
      </c>
      <c r="E82" s="1" t="s">
        <v>27</v>
      </c>
    </row>
    <row r="83" spans="1:5" ht="13" x14ac:dyDescent="0.15">
      <c r="A83" s="2">
        <v>45251.577619525458</v>
      </c>
      <c r="B83" s="1" t="s">
        <v>20</v>
      </c>
      <c r="C83" s="1" t="s">
        <v>56</v>
      </c>
      <c r="D83" s="16">
        <v>3</v>
      </c>
      <c r="E83" s="1" t="s">
        <v>29</v>
      </c>
    </row>
    <row r="84" spans="1:5" ht="13" x14ac:dyDescent="0.15">
      <c r="A84" s="2">
        <v>45251.577707233795</v>
      </c>
      <c r="B84" s="1" t="s">
        <v>41</v>
      </c>
      <c r="C84" s="1" t="s">
        <v>21</v>
      </c>
      <c r="D84" s="1">
        <v>4</v>
      </c>
      <c r="E84" s="1" t="s">
        <v>29</v>
      </c>
    </row>
    <row r="85" spans="1:5" ht="13" x14ac:dyDescent="0.15">
      <c r="A85" s="2">
        <v>45251.578058333333</v>
      </c>
      <c r="B85" s="1" t="s">
        <v>20</v>
      </c>
      <c r="C85" s="1" t="s">
        <v>21</v>
      </c>
      <c r="D85" s="16">
        <v>3</v>
      </c>
      <c r="E85" s="1" t="s">
        <v>27</v>
      </c>
    </row>
    <row r="86" spans="1:5" ht="13" x14ac:dyDescent="0.15">
      <c r="A86" s="2">
        <v>45251.578936423612</v>
      </c>
      <c r="B86" s="1" t="s">
        <v>41</v>
      </c>
      <c r="C86" s="1" t="s">
        <v>21</v>
      </c>
      <c r="D86" s="1">
        <v>4</v>
      </c>
      <c r="E86" s="1" t="s">
        <v>27</v>
      </c>
    </row>
    <row r="87" spans="1:5" ht="13" x14ac:dyDescent="0.15">
      <c r="A87" s="2">
        <v>45251.580394803241</v>
      </c>
      <c r="B87" s="1" t="s">
        <v>41</v>
      </c>
      <c r="C87" s="1" t="s">
        <v>21</v>
      </c>
      <c r="D87" s="1">
        <v>5</v>
      </c>
      <c r="E87" s="1" t="s">
        <v>27</v>
      </c>
    </row>
    <row r="88" spans="1:5" ht="13" x14ac:dyDescent="0.15">
      <c r="A88" s="2">
        <v>45251.580448587963</v>
      </c>
      <c r="B88" s="1" t="s">
        <v>41</v>
      </c>
      <c r="C88" s="1" t="s">
        <v>56</v>
      </c>
      <c r="D88" s="1">
        <v>5</v>
      </c>
      <c r="E88" s="1" t="s">
        <v>27</v>
      </c>
    </row>
    <row r="89" spans="1:5" ht="13" x14ac:dyDescent="0.15">
      <c r="A89" s="2">
        <v>45251.585245196758</v>
      </c>
      <c r="B89" s="1" t="s">
        <v>41</v>
      </c>
      <c r="C89" s="1" t="s">
        <v>21</v>
      </c>
      <c r="D89" s="16">
        <v>3</v>
      </c>
      <c r="E89" s="1" t="s">
        <v>27</v>
      </c>
    </row>
    <row r="90" spans="1:5" ht="13" x14ac:dyDescent="0.15">
      <c r="A90" s="2">
        <v>45251.588210925926</v>
      </c>
      <c r="B90" s="1" t="s">
        <v>20</v>
      </c>
      <c r="C90" s="1" t="s">
        <v>56</v>
      </c>
      <c r="D90" s="1">
        <v>4</v>
      </c>
      <c r="E90" s="1" t="s">
        <v>29</v>
      </c>
    </row>
    <row r="91" spans="1:5" ht="13" x14ac:dyDescent="0.15">
      <c r="A91" s="2">
        <v>45251.618555740744</v>
      </c>
      <c r="B91" s="1" t="s">
        <v>41</v>
      </c>
      <c r="C91" s="1" t="s">
        <v>21</v>
      </c>
      <c r="D91" s="1">
        <v>4</v>
      </c>
      <c r="E91" s="1" t="s">
        <v>29</v>
      </c>
    </row>
    <row r="92" spans="1:5" ht="13" x14ac:dyDescent="0.15">
      <c r="A92" s="2">
        <v>45251.630657395828</v>
      </c>
      <c r="B92" s="1" t="s">
        <v>41</v>
      </c>
      <c r="C92" s="1" t="s">
        <v>56</v>
      </c>
      <c r="D92" s="16">
        <v>3</v>
      </c>
      <c r="E92" s="1" t="s">
        <v>27</v>
      </c>
    </row>
    <row r="93" spans="1:5" ht="13" x14ac:dyDescent="0.15">
      <c r="A93" s="2">
        <v>45251.632915671296</v>
      </c>
      <c r="B93" s="1" t="s">
        <v>41</v>
      </c>
      <c r="C93" s="1" t="s">
        <v>56</v>
      </c>
      <c r="D93" s="1">
        <v>5</v>
      </c>
      <c r="E93" s="1" t="s">
        <v>27</v>
      </c>
    </row>
    <row r="94" spans="1:5" ht="13" x14ac:dyDescent="0.15">
      <c r="A94" s="2">
        <v>45251.638154918983</v>
      </c>
      <c r="B94" s="1" t="s">
        <v>20</v>
      </c>
      <c r="C94" s="1" t="s">
        <v>21</v>
      </c>
      <c r="D94" s="16">
        <v>3</v>
      </c>
      <c r="E94" s="1" t="s">
        <v>27</v>
      </c>
    </row>
    <row r="95" spans="1:5" ht="13" x14ac:dyDescent="0.15">
      <c r="A95" s="2">
        <v>45251.652837465277</v>
      </c>
      <c r="B95" s="1" t="s">
        <v>41</v>
      </c>
      <c r="C95" s="1" t="s">
        <v>21</v>
      </c>
      <c r="D95" s="16">
        <v>3</v>
      </c>
      <c r="E95" s="1" t="s">
        <v>27</v>
      </c>
    </row>
    <row r="96" spans="1:5" ht="13" x14ac:dyDescent="0.15">
      <c r="A96" s="2">
        <v>45251.655083368052</v>
      </c>
      <c r="B96" s="1" t="s">
        <v>20</v>
      </c>
      <c r="C96" s="1" t="s">
        <v>56</v>
      </c>
      <c r="D96" s="1">
        <v>4</v>
      </c>
      <c r="E96" s="1" t="s">
        <v>27</v>
      </c>
    </row>
    <row r="97" spans="1:5" ht="13" x14ac:dyDescent="0.15">
      <c r="A97" s="2">
        <v>45251.655338391203</v>
      </c>
      <c r="B97" s="1" t="s">
        <v>41</v>
      </c>
      <c r="C97" s="1" t="s">
        <v>21</v>
      </c>
      <c r="D97" s="1">
        <v>4</v>
      </c>
      <c r="E97" s="1" t="s">
        <v>27</v>
      </c>
    </row>
    <row r="98" spans="1:5" ht="13" x14ac:dyDescent="0.15">
      <c r="A98" s="2">
        <v>45251.675592719912</v>
      </c>
      <c r="B98" s="1" t="s">
        <v>41</v>
      </c>
      <c r="C98" s="1" t="s">
        <v>56</v>
      </c>
      <c r="D98" s="16">
        <v>3</v>
      </c>
      <c r="E98" s="1" t="s">
        <v>27</v>
      </c>
    </row>
    <row r="99" spans="1:5" ht="13" x14ac:dyDescent="0.15">
      <c r="A99" s="2">
        <v>45251.676486909724</v>
      </c>
      <c r="B99" s="1" t="s">
        <v>20</v>
      </c>
      <c r="C99" s="1" t="s">
        <v>77</v>
      </c>
      <c r="D99" s="14">
        <v>2</v>
      </c>
      <c r="E99" s="1" t="s">
        <v>29</v>
      </c>
    </row>
    <row r="100" spans="1:5" ht="13" x14ac:dyDescent="0.15">
      <c r="A100" s="2">
        <v>45251.705367777773</v>
      </c>
      <c r="B100" s="1" t="s">
        <v>41</v>
      </c>
      <c r="C100" s="1" t="s">
        <v>21</v>
      </c>
      <c r="D100" s="1">
        <v>5</v>
      </c>
      <c r="E100" s="1" t="s">
        <v>27</v>
      </c>
    </row>
    <row r="101" spans="1:5" ht="13" x14ac:dyDescent="0.15">
      <c r="A101" s="2">
        <v>45251.707655532402</v>
      </c>
      <c r="B101" s="1" t="s">
        <v>55</v>
      </c>
      <c r="C101" s="1" t="s">
        <v>21</v>
      </c>
      <c r="D101" s="16">
        <v>3</v>
      </c>
      <c r="E101" s="1" t="s">
        <v>27</v>
      </c>
    </row>
    <row r="102" spans="1:5" ht="13" x14ac:dyDescent="0.15">
      <c r="A102" s="2">
        <v>45251.710113622685</v>
      </c>
      <c r="B102" s="1" t="s">
        <v>20</v>
      </c>
      <c r="C102" s="1" t="s">
        <v>77</v>
      </c>
      <c r="D102" s="13">
        <v>1</v>
      </c>
      <c r="E102" s="1" t="s">
        <v>29</v>
      </c>
    </row>
    <row r="103" spans="1:5" ht="13" x14ac:dyDescent="0.15">
      <c r="A103" s="2">
        <v>45251.735638495375</v>
      </c>
      <c r="B103" s="1" t="s">
        <v>41</v>
      </c>
      <c r="C103" s="1" t="s">
        <v>21</v>
      </c>
      <c r="D103" s="16">
        <v>3</v>
      </c>
      <c r="E103" s="1" t="s">
        <v>27</v>
      </c>
    </row>
    <row r="104" spans="1:5" ht="13" x14ac:dyDescent="0.15">
      <c r="A104" s="2">
        <v>45251.740426932869</v>
      </c>
      <c r="B104" s="1" t="s">
        <v>41</v>
      </c>
      <c r="C104" s="1" t="s">
        <v>163</v>
      </c>
      <c r="D104" s="14">
        <v>2</v>
      </c>
      <c r="E104" s="1" t="s">
        <v>29</v>
      </c>
    </row>
    <row r="105" spans="1:5" ht="13" x14ac:dyDescent="0.15">
      <c r="A105" s="2">
        <v>45251.742632673609</v>
      </c>
      <c r="B105" s="1" t="s">
        <v>41</v>
      </c>
      <c r="C105" s="1" t="s">
        <v>21</v>
      </c>
      <c r="D105" s="16">
        <v>3</v>
      </c>
      <c r="E105" s="1" t="s">
        <v>27</v>
      </c>
    </row>
    <row r="106" spans="1:5" ht="13" x14ac:dyDescent="0.15">
      <c r="A106" s="2">
        <v>45251.743431643517</v>
      </c>
      <c r="B106" s="1" t="s">
        <v>41</v>
      </c>
      <c r="C106" s="1" t="s">
        <v>21</v>
      </c>
      <c r="D106" s="1">
        <v>4</v>
      </c>
      <c r="E106" s="1" t="s">
        <v>27</v>
      </c>
    </row>
    <row r="107" spans="1:5" ht="13" x14ac:dyDescent="0.15">
      <c r="A107" s="2">
        <v>45251.753895613423</v>
      </c>
      <c r="B107" s="1" t="s">
        <v>41</v>
      </c>
      <c r="C107" s="1" t="s">
        <v>75</v>
      </c>
      <c r="D107" s="1">
        <v>5</v>
      </c>
      <c r="E107" s="1" t="s">
        <v>27</v>
      </c>
    </row>
    <row r="108" spans="1:5" ht="13" x14ac:dyDescent="0.15">
      <c r="A108" s="2">
        <v>45251.7635696875</v>
      </c>
      <c r="B108" s="1" t="s">
        <v>20</v>
      </c>
      <c r="C108" s="1" t="s">
        <v>56</v>
      </c>
      <c r="D108" s="14">
        <v>2</v>
      </c>
      <c r="E108" s="1" t="s">
        <v>27</v>
      </c>
    </row>
    <row r="109" spans="1:5" ht="13" x14ac:dyDescent="0.15">
      <c r="A109" s="2">
        <v>45251.772083449076</v>
      </c>
      <c r="B109" s="1" t="s">
        <v>41</v>
      </c>
      <c r="C109" s="1" t="s">
        <v>72</v>
      </c>
      <c r="D109" s="16">
        <v>3</v>
      </c>
      <c r="E109" s="1" t="s">
        <v>27</v>
      </c>
    </row>
    <row r="110" spans="1:5" ht="13" x14ac:dyDescent="0.15">
      <c r="A110" s="2">
        <v>45251.772312337962</v>
      </c>
      <c r="B110" s="1" t="s">
        <v>41</v>
      </c>
      <c r="C110" s="1" t="s">
        <v>72</v>
      </c>
      <c r="D110" s="16">
        <v>3</v>
      </c>
      <c r="E110" s="1" t="s">
        <v>29</v>
      </c>
    </row>
    <row r="111" spans="1:5" ht="13" x14ac:dyDescent="0.15">
      <c r="A111" s="2">
        <v>45251.774068090279</v>
      </c>
      <c r="B111" s="1" t="s">
        <v>20</v>
      </c>
      <c r="C111" s="1" t="s">
        <v>72</v>
      </c>
      <c r="D111" s="14">
        <v>2</v>
      </c>
      <c r="E111" s="1" t="s">
        <v>29</v>
      </c>
    </row>
    <row r="112" spans="1:5" ht="13" x14ac:dyDescent="0.15">
      <c r="A112" s="2">
        <v>45251.776530069445</v>
      </c>
      <c r="B112" s="1" t="s">
        <v>41</v>
      </c>
      <c r="C112" s="1" t="s">
        <v>72</v>
      </c>
      <c r="D112" s="16">
        <v>3</v>
      </c>
      <c r="E112" s="1" t="s">
        <v>27</v>
      </c>
    </row>
    <row r="113" spans="1:5" ht="13" x14ac:dyDescent="0.15">
      <c r="A113" s="2">
        <v>45251.7803341088</v>
      </c>
      <c r="B113" s="1" t="s">
        <v>41</v>
      </c>
      <c r="C113" s="1" t="s">
        <v>72</v>
      </c>
      <c r="D113" s="16">
        <v>3</v>
      </c>
      <c r="E113" s="1" t="s">
        <v>29</v>
      </c>
    </row>
    <row r="114" spans="1:5" ht="13" x14ac:dyDescent="0.15">
      <c r="A114" s="2">
        <v>45251.782128738429</v>
      </c>
      <c r="B114" s="1" t="s">
        <v>20</v>
      </c>
      <c r="C114" s="1" t="s">
        <v>56</v>
      </c>
      <c r="D114" s="14">
        <v>2</v>
      </c>
      <c r="E114" s="1" t="s">
        <v>29</v>
      </c>
    </row>
    <row r="115" spans="1:5" ht="13" x14ac:dyDescent="0.15">
      <c r="A115" s="2">
        <v>45251.782140694442</v>
      </c>
      <c r="B115" s="1" t="s">
        <v>20</v>
      </c>
      <c r="C115" s="1" t="s">
        <v>56</v>
      </c>
      <c r="D115" s="16">
        <v>3</v>
      </c>
      <c r="E115" s="1" t="s">
        <v>27</v>
      </c>
    </row>
    <row r="116" spans="1:5" ht="13" x14ac:dyDescent="0.15">
      <c r="A116" s="2">
        <v>45251.782739282411</v>
      </c>
      <c r="B116" s="1" t="s">
        <v>41</v>
      </c>
      <c r="C116" s="1" t="s">
        <v>56</v>
      </c>
      <c r="D116" s="14">
        <v>2</v>
      </c>
      <c r="E116" s="1" t="s">
        <v>27</v>
      </c>
    </row>
    <row r="117" spans="1:5" ht="13" x14ac:dyDescent="0.15">
      <c r="A117" s="2">
        <v>45251.783047696765</v>
      </c>
      <c r="B117" s="1" t="s">
        <v>41</v>
      </c>
      <c r="C117" s="1" t="s">
        <v>56</v>
      </c>
      <c r="D117" s="1">
        <v>4</v>
      </c>
      <c r="E117" s="1" t="s">
        <v>29</v>
      </c>
    </row>
    <row r="118" spans="1:5" ht="13" x14ac:dyDescent="0.15">
      <c r="A118" s="2">
        <v>45251.783067893513</v>
      </c>
      <c r="B118" s="1" t="s">
        <v>41</v>
      </c>
      <c r="C118" s="1" t="s">
        <v>56</v>
      </c>
      <c r="D118" s="14">
        <v>2</v>
      </c>
      <c r="E118" s="1" t="s">
        <v>27</v>
      </c>
    </row>
    <row r="119" spans="1:5" ht="13" x14ac:dyDescent="0.15">
      <c r="A119" s="2">
        <v>45251.784508506942</v>
      </c>
      <c r="B119" s="1" t="s">
        <v>41</v>
      </c>
      <c r="C119" s="1" t="s">
        <v>56</v>
      </c>
      <c r="D119" s="1">
        <v>4</v>
      </c>
      <c r="E119" s="1" t="s">
        <v>27</v>
      </c>
    </row>
    <row r="120" spans="1:5" ht="13" x14ac:dyDescent="0.15">
      <c r="A120" s="2">
        <v>45251.78651528935</v>
      </c>
      <c r="B120" s="1" t="s">
        <v>41</v>
      </c>
      <c r="C120" s="1" t="s">
        <v>56</v>
      </c>
      <c r="D120" s="1">
        <v>4</v>
      </c>
      <c r="E120" s="1" t="s">
        <v>27</v>
      </c>
    </row>
    <row r="121" spans="1:5" ht="13" x14ac:dyDescent="0.15">
      <c r="A121" s="2">
        <v>45251.78659369213</v>
      </c>
      <c r="B121" s="1" t="s">
        <v>41</v>
      </c>
      <c r="C121" s="1" t="s">
        <v>56</v>
      </c>
      <c r="D121" s="1">
        <v>4</v>
      </c>
      <c r="E121" s="1" t="s">
        <v>27</v>
      </c>
    </row>
    <row r="122" spans="1:5" ht="13" x14ac:dyDescent="0.15">
      <c r="A122" s="2">
        <v>45251.790628518516</v>
      </c>
      <c r="B122" s="1" t="s">
        <v>20</v>
      </c>
      <c r="C122" s="1" t="s">
        <v>56</v>
      </c>
      <c r="D122" s="1">
        <v>4</v>
      </c>
      <c r="E122" s="1" t="s">
        <v>27</v>
      </c>
    </row>
    <row r="123" spans="1:5" ht="13" x14ac:dyDescent="0.15">
      <c r="A123" s="2">
        <v>45251.791547013891</v>
      </c>
      <c r="B123" s="1" t="s">
        <v>20</v>
      </c>
      <c r="C123" s="1" t="s">
        <v>56</v>
      </c>
      <c r="D123" s="16">
        <v>3</v>
      </c>
      <c r="E123" s="1" t="s">
        <v>27</v>
      </c>
    </row>
    <row r="124" spans="1:5" ht="13" x14ac:dyDescent="0.15">
      <c r="A124" s="2">
        <v>45251.797867395835</v>
      </c>
      <c r="B124" s="1" t="s">
        <v>41</v>
      </c>
      <c r="C124" s="1" t="s">
        <v>21</v>
      </c>
      <c r="D124" s="1">
        <v>4</v>
      </c>
      <c r="E124" s="1" t="s">
        <v>27</v>
      </c>
    </row>
    <row r="125" spans="1:5" ht="13" x14ac:dyDescent="0.15">
      <c r="A125" s="2">
        <v>45251.807915324069</v>
      </c>
      <c r="B125" s="1" t="s">
        <v>41</v>
      </c>
      <c r="C125" s="1" t="s">
        <v>21</v>
      </c>
      <c r="D125" s="1">
        <v>5</v>
      </c>
      <c r="E125" s="1" t="s">
        <v>27</v>
      </c>
    </row>
    <row r="126" spans="1:5" ht="13" x14ac:dyDescent="0.15">
      <c r="A126" s="2">
        <v>45251.808582199075</v>
      </c>
      <c r="B126" s="1" t="s">
        <v>20</v>
      </c>
      <c r="C126" s="1" t="s">
        <v>21</v>
      </c>
      <c r="D126" s="1">
        <v>4</v>
      </c>
      <c r="E126" s="1" t="s">
        <v>27</v>
      </c>
    </row>
    <row r="127" spans="1:5" ht="13" x14ac:dyDescent="0.15">
      <c r="A127" s="2">
        <v>45251.815429062495</v>
      </c>
      <c r="B127" s="1" t="s">
        <v>41</v>
      </c>
      <c r="C127" s="1" t="s">
        <v>72</v>
      </c>
      <c r="D127" s="1">
        <v>4</v>
      </c>
      <c r="E127" s="1" t="s">
        <v>29</v>
      </c>
    </row>
    <row r="128" spans="1:5" ht="13" x14ac:dyDescent="0.15">
      <c r="A128" s="2">
        <v>45251.816763067131</v>
      </c>
      <c r="B128" s="1" t="s">
        <v>20</v>
      </c>
      <c r="C128" s="1" t="s">
        <v>56</v>
      </c>
      <c r="D128" s="14">
        <v>2</v>
      </c>
      <c r="E128" s="1" t="s">
        <v>29</v>
      </c>
    </row>
    <row r="129" spans="1:5" ht="13" x14ac:dyDescent="0.15">
      <c r="A129" s="2">
        <v>45251.837336724537</v>
      </c>
      <c r="B129" s="1" t="s">
        <v>41</v>
      </c>
      <c r="C129" s="1" t="s">
        <v>75</v>
      </c>
      <c r="D129" s="16">
        <v>3</v>
      </c>
      <c r="E129" s="1" t="s">
        <v>29</v>
      </c>
    </row>
    <row r="130" spans="1:5" ht="13" x14ac:dyDescent="0.15">
      <c r="A130" s="2">
        <v>45251.85367887732</v>
      </c>
      <c r="B130" s="1" t="s">
        <v>41</v>
      </c>
      <c r="C130" s="1" t="s">
        <v>75</v>
      </c>
      <c r="D130" s="14">
        <v>2</v>
      </c>
      <c r="E130" s="1" t="s">
        <v>27</v>
      </c>
    </row>
    <row r="131" spans="1:5" ht="13" x14ac:dyDescent="0.15">
      <c r="A131" s="2">
        <v>45251.864192893518</v>
      </c>
      <c r="B131" s="1" t="s">
        <v>41</v>
      </c>
      <c r="C131" s="1" t="s">
        <v>77</v>
      </c>
      <c r="D131" s="16">
        <v>3</v>
      </c>
      <c r="E131" s="1" t="s">
        <v>27</v>
      </c>
    </row>
    <row r="132" spans="1:5" ht="13" x14ac:dyDescent="0.15">
      <c r="A132" s="2">
        <v>45251.869960185184</v>
      </c>
      <c r="B132" s="1" t="s">
        <v>41</v>
      </c>
      <c r="C132" s="1" t="s">
        <v>56</v>
      </c>
      <c r="D132" s="1">
        <v>4</v>
      </c>
      <c r="E132" s="1" t="s">
        <v>27</v>
      </c>
    </row>
    <row r="133" spans="1:5" ht="13" x14ac:dyDescent="0.15">
      <c r="A133" s="2">
        <v>45251.878981342597</v>
      </c>
      <c r="B133" s="1" t="s">
        <v>20</v>
      </c>
      <c r="C133" s="1" t="s">
        <v>56</v>
      </c>
      <c r="D133" s="16">
        <v>3</v>
      </c>
      <c r="E133" s="1" t="s">
        <v>29</v>
      </c>
    </row>
    <row r="134" spans="1:5" ht="13" x14ac:dyDescent="0.15">
      <c r="A134" s="2">
        <v>45251.884422754629</v>
      </c>
      <c r="B134" s="1" t="s">
        <v>41</v>
      </c>
      <c r="C134" s="1" t="s">
        <v>75</v>
      </c>
      <c r="D134" s="13">
        <v>1</v>
      </c>
      <c r="E134" s="1" t="s">
        <v>27</v>
      </c>
    </row>
    <row r="135" spans="1:5" ht="13" x14ac:dyDescent="0.15">
      <c r="A135" s="2">
        <v>45251.907799606481</v>
      </c>
      <c r="B135" s="1" t="s">
        <v>41</v>
      </c>
      <c r="C135" s="1" t="s">
        <v>21</v>
      </c>
      <c r="D135" s="1">
        <v>4</v>
      </c>
      <c r="E135" s="1" t="s">
        <v>27</v>
      </c>
    </row>
    <row r="136" spans="1:5" ht="13" x14ac:dyDescent="0.15">
      <c r="A136" s="2">
        <v>45251.908089363424</v>
      </c>
      <c r="B136" s="1" t="s">
        <v>41</v>
      </c>
      <c r="C136" s="1" t="s">
        <v>56</v>
      </c>
      <c r="D136" s="1">
        <v>4</v>
      </c>
      <c r="E136" s="1" t="s">
        <v>29</v>
      </c>
    </row>
    <row r="137" spans="1:5" ht="13" x14ac:dyDescent="0.15">
      <c r="A137" s="2">
        <v>45251.908119664353</v>
      </c>
      <c r="B137" s="1" t="s">
        <v>41</v>
      </c>
      <c r="C137" s="1" t="s">
        <v>21</v>
      </c>
      <c r="D137" s="1">
        <v>4</v>
      </c>
      <c r="E137" s="1" t="s">
        <v>27</v>
      </c>
    </row>
    <row r="138" spans="1:5" ht="13" x14ac:dyDescent="0.15">
      <c r="A138" s="2">
        <v>45251.908433020828</v>
      </c>
      <c r="B138" s="1" t="s">
        <v>20</v>
      </c>
      <c r="C138" s="1" t="s">
        <v>56</v>
      </c>
      <c r="D138" s="16">
        <v>3</v>
      </c>
      <c r="E138" s="1" t="s">
        <v>29</v>
      </c>
    </row>
    <row r="139" spans="1:5" ht="13" x14ac:dyDescent="0.15">
      <c r="A139" s="2">
        <v>45251.90844295139</v>
      </c>
      <c r="B139" s="1" t="s">
        <v>20</v>
      </c>
      <c r="C139" s="1" t="s">
        <v>21</v>
      </c>
      <c r="D139" s="1">
        <v>4</v>
      </c>
      <c r="E139" s="1" t="s">
        <v>27</v>
      </c>
    </row>
    <row r="140" spans="1:5" ht="13" x14ac:dyDescent="0.15">
      <c r="A140" s="2">
        <v>45251.908496689815</v>
      </c>
      <c r="B140" s="1" t="s">
        <v>41</v>
      </c>
      <c r="C140" s="1" t="s">
        <v>21</v>
      </c>
      <c r="D140" s="1">
        <v>5</v>
      </c>
      <c r="E140" s="1" t="s">
        <v>27</v>
      </c>
    </row>
    <row r="141" spans="1:5" ht="13" x14ac:dyDescent="0.15">
      <c r="A141" s="2">
        <v>45251.908716238424</v>
      </c>
      <c r="B141" s="1" t="s">
        <v>20</v>
      </c>
      <c r="C141" s="1" t="s">
        <v>56</v>
      </c>
      <c r="D141" s="1">
        <v>5</v>
      </c>
      <c r="E141" s="1" t="s">
        <v>27</v>
      </c>
    </row>
    <row r="142" spans="1:5" ht="13" x14ac:dyDescent="0.15">
      <c r="A142" s="2">
        <v>45251.908738564816</v>
      </c>
      <c r="B142" s="1" t="s">
        <v>41</v>
      </c>
      <c r="C142" s="1" t="s">
        <v>21</v>
      </c>
      <c r="D142" s="1">
        <v>5</v>
      </c>
      <c r="E142" s="1" t="s">
        <v>27</v>
      </c>
    </row>
    <row r="143" spans="1:5" ht="13" x14ac:dyDescent="0.15">
      <c r="A143" s="2">
        <v>45251.908907696758</v>
      </c>
      <c r="B143" s="1" t="s">
        <v>41</v>
      </c>
      <c r="C143" s="1" t="s">
        <v>21</v>
      </c>
      <c r="D143" s="1">
        <v>5</v>
      </c>
      <c r="E143" s="1" t="s">
        <v>27</v>
      </c>
    </row>
    <row r="144" spans="1:5" ht="13" x14ac:dyDescent="0.15">
      <c r="A144" s="2">
        <v>45251.909170451385</v>
      </c>
      <c r="B144" s="1" t="s">
        <v>20</v>
      </c>
      <c r="C144" s="1" t="s">
        <v>56</v>
      </c>
      <c r="D144" s="14">
        <v>2</v>
      </c>
      <c r="E144" s="1" t="s">
        <v>29</v>
      </c>
    </row>
    <row r="145" spans="1:5" ht="13" x14ac:dyDescent="0.15">
      <c r="A145" s="2">
        <v>45251.910125266208</v>
      </c>
      <c r="B145" s="1" t="s">
        <v>20</v>
      </c>
      <c r="C145" s="1" t="s">
        <v>21</v>
      </c>
      <c r="D145" s="16">
        <v>3</v>
      </c>
      <c r="E145" s="1" t="s">
        <v>27</v>
      </c>
    </row>
    <row r="146" spans="1:5" ht="13" x14ac:dyDescent="0.15">
      <c r="A146" s="2">
        <v>45251.911031053241</v>
      </c>
      <c r="B146" s="1" t="s">
        <v>41</v>
      </c>
      <c r="C146" s="1" t="s">
        <v>21</v>
      </c>
      <c r="D146" s="1">
        <v>4</v>
      </c>
      <c r="E146" s="1" t="s">
        <v>27</v>
      </c>
    </row>
    <row r="147" spans="1:5" ht="13" x14ac:dyDescent="0.15">
      <c r="A147" s="2">
        <v>45251.912558981479</v>
      </c>
      <c r="B147" s="1" t="s">
        <v>41</v>
      </c>
      <c r="C147" s="1" t="s">
        <v>72</v>
      </c>
      <c r="D147" s="1">
        <v>5</v>
      </c>
      <c r="E147" s="1" t="s">
        <v>27</v>
      </c>
    </row>
    <row r="148" spans="1:5" ht="13" x14ac:dyDescent="0.15">
      <c r="A148" s="2">
        <v>45251.912693043982</v>
      </c>
      <c r="B148" s="1" t="s">
        <v>55</v>
      </c>
      <c r="C148" s="1" t="s">
        <v>72</v>
      </c>
      <c r="D148" s="16">
        <v>3</v>
      </c>
      <c r="E148" s="1" t="s">
        <v>29</v>
      </c>
    </row>
    <row r="149" spans="1:5" ht="13" x14ac:dyDescent="0.15">
      <c r="A149" s="2">
        <v>45251.912693877312</v>
      </c>
      <c r="B149" s="1" t="s">
        <v>20</v>
      </c>
      <c r="C149" s="1" t="s">
        <v>21</v>
      </c>
      <c r="D149" s="1">
        <v>4</v>
      </c>
      <c r="E149" s="1" t="s">
        <v>27</v>
      </c>
    </row>
    <row r="150" spans="1:5" ht="13" x14ac:dyDescent="0.15">
      <c r="A150" s="2">
        <v>45251.913088912042</v>
      </c>
      <c r="B150" s="1" t="s">
        <v>20</v>
      </c>
      <c r="C150" s="1" t="s">
        <v>56</v>
      </c>
      <c r="D150" s="16">
        <v>3</v>
      </c>
      <c r="E150" s="1" t="s">
        <v>29</v>
      </c>
    </row>
    <row r="151" spans="1:5" ht="13" x14ac:dyDescent="0.15">
      <c r="A151" s="2">
        <v>45251.913173148147</v>
      </c>
      <c r="B151" s="1" t="s">
        <v>41</v>
      </c>
      <c r="C151" s="1" t="s">
        <v>21</v>
      </c>
      <c r="D151" s="16">
        <v>3</v>
      </c>
      <c r="E151" s="1" t="s">
        <v>27</v>
      </c>
    </row>
    <row r="152" spans="1:5" ht="13" x14ac:dyDescent="0.15">
      <c r="A152" s="2">
        <v>45251.913237303241</v>
      </c>
      <c r="B152" s="1" t="s">
        <v>20</v>
      </c>
      <c r="C152" s="1" t="s">
        <v>21</v>
      </c>
      <c r="D152" s="13">
        <v>1</v>
      </c>
      <c r="E152" s="1" t="s">
        <v>29</v>
      </c>
    </row>
    <row r="153" spans="1:5" ht="13" x14ac:dyDescent="0.15">
      <c r="A153" s="2">
        <v>45251.915312384255</v>
      </c>
      <c r="B153" s="1" t="s">
        <v>41</v>
      </c>
      <c r="C153" s="1" t="s">
        <v>56</v>
      </c>
      <c r="D153" s="1">
        <v>4</v>
      </c>
      <c r="E153" s="1" t="s">
        <v>27</v>
      </c>
    </row>
    <row r="154" spans="1:5" ht="13" x14ac:dyDescent="0.15">
      <c r="A154" s="2">
        <v>45251.91691028935</v>
      </c>
      <c r="B154" s="1" t="s">
        <v>41</v>
      </c>
      <c r="C154" s="1" t="s">
        <v>21</v>
      </c>
      <c r="D154" s="16">
        <v>3</v>
      </c>
      <c r="E154" s="1" t="s">
        <v>27</v>
      </c>
    </row>
    <row r="155" spans="1:5" ht="13" x14ac:dyDescent="0.15">
      <c r="A155" s="2">
        <v>45251.923194479168</v>
      </c>
      <c r="B155" s="1" t="s">
        <v>20</v>
      </c>
      <c r="C155" s="1" t="s">
        <v>72</v>
      </c>
      <c r="D155" s="16">
        <v>3</v>
      </c>
      <c r="E155" s="1" t="s">
        <v>29</v>
      </c>
    </row>
    <row r="156" spans="1:5" ht="13" x14ac:dyDescent="0.15">
      <c r="A156" s="2">
        <v>45251.940109432871</v>
      </c>
      <c r="B156" s="1" t="s">
        <v>41</v>
      </c>
      <c r="C156" s="1" t="s">
        <v>21</v>
      </c>
      <c r="D156" s="16">
        <v>3</v>
      </c>
      <c r="E156" s="1" t="s">
        <v>27</v>
      </c>
    </row>
    <row r="157" spans="1:5" ht="13" x14ac:dyDescent="0.15">
      <c r="A157" s="2">
        <v>45251.946196111108</v>
      </c>
      <c r="B157" s="1" t="s">
        <v>20</v>
      </c>
      <c r="C157" s="1" t="s">
        <v>56</v>
      </c>
      <c r="D157" s="1">
        <v>4</v>
      </c>
      <c r="E157" s="1" t="s">
        <v>29</v>
      </c>
    </row>
    <row r="158" spans="1:5" ht="13" x14ac:dyDescent="0.15">
      <c r="A158" s="2">
        <v>45251.967312106484</v>
      </c>
      <c r="B158" s="1" t="s">
        <v>41</v>
      </c>
      <c r="C158" s="1" t="s">
        <v>21</v>
      </c>
      <c r="D158" s="1">
        <v>4</v>
      </c>
      <c r="E158" s="1" t="s">
        <v>29</v>
      </c>
    </row>
    <row r="159" spans="1:5" ht="13" x14ac:dyDescent="0.15">
      <c r="A159" s="2">
        <v>45252.392325671295</v>
      </c>
      <c r="B159" s="1" t="s">
        <v>20</v>
      </c>
      <c r="C159" s="1" t="s">
        <v>21</v>
      </c>
      <c r="D159" s="1">
        <v>4</v>
      </c>
      <c r="E159" s="1" t="s">
        <v>29</v>
      </c>
    </row>
    <row r="160" spans="1:5" ht="13" x14ac:dyDescent="0.15">
      <c r="A160" s="2">
        <v>45252.445663009261</v>
      </c>
      <c r="B160" s="1" t="s">
        <v>41</v>
      </c>
      <c r="C160" s="1" t="s">
        <v>56</v>
      </c>
      <c r="D160" s="14">
        <v>2</v>
      </c>
      <c r="E160" s="1" t="s">
        <v>27</v>
      </c>
    </row>
    <row r="161" spans="1:5" ht="13" x14ac:dyDescent="0.15">
      <c r="A161" s="2">
        <v>45252.447723391204</v>
      </c>
      <c r="B161" s="1" t="s">
        <v>20</v>
      </c>
      <c r="C161" s="1" t="s">
        <v>75</v>
      </c>
      <c r="D161" s="13">
        <v>1</v>
      </c>
      <c r="E161" s="1" t="s">
        <v>29</v>
      </c>
    </row>
    <row r="162" spans="1:5" ht="13" x14ac:dyDescent="0.15">
      <c r="A162" s="2">
        <v>45252.600042418984</v>
      </c>
      <c r="B162" s="1" t="s">
        <v>41</v>
      </c>
      <c r="C162" s="1" t="s">
        <v>72</v>
      </c>
      <c r="D162" s="1">
        <v>5</v>
      </c>
      <c r="E162" s="1" t="s">
        <v>29</v>
      </c>
    </row>
    <row r="163" spans="1:5" ht="13" x14ac:dyDescent="0.15">
      <c r="A163" s="2">
        <v>45252.623505532407</v>
      </c>
      <c r="B163" s="1" t="s">
        <v>41</v>
      </c>
      <c r="C163" s="1" t="s">
        <v>77</v>
      </c>
      <c r="D163" s="1">
        <v>4</v>
      </c>
      <c r="E163" s="1" t="s">
        <v>27</v>
      </c>
    </row>
    <row r="164" spans="1:5" ht="13" x14ac:dyDescent="0.15">
      <c r="A164" s="2">
        <v>45252.64937378472</v>
      </c>
      <c r="B164" s="1" t="s">
        <v>41</v>
      </c>
      <c r="C164" s="1" t="s">
        <v>72</v>
      </c>
      <c r="D164" s="14">
        <v>2</v>
      </c>
      <c r="E164" s="1" t="s">
        <v>29</v>
      </c>
    </row>
    <row r="165" spans="1:5" ht="13" x14ac:dyDescent="0.15">
      <c r="A165" s="2">
        <v>45252.829636319446</v>
      </c>
      <c r="B165" s="1" t="s">
        <v>20</v>
      </c>
      <c r="C165" s="1" t="s">
        <v>72</v>
      </c>
      <c r="D165" s="1">
        <v>4</v>
      </c>
      <c r="E165" s="1" t="s">
        <v>29</v>
      </c>
    </row>
    <row r="166" spans="1:5" ht="13" x14ac:dyDescent="0.15">
      <c r="A166" s="2">
        <v>45254.714148171297</v>
      </c>
      <c r="B166" s="1" t="s">
        <v>41</v>
      </c>
      <c r="C166" s="1" t="s">
        <v>21</v>
      </c>
      <c r="D166" s="16">
        <v>3</v>
      </c>
      <c r="E166" s="1" t="s">
        <v>27</v>
      </c>
    </row>
    <row r="167" spans="1:5" ht="13" x14ac:dyDescent="0.15">
      <c r="A167" s="2">
        <v>45254.71734614583</v>
      </c>
      <c r="B167" s="1" t="s">
        <v>41</v>
      </c>
      <c r="C167" s="1" t="s">
        <v>21</v>
      </c>
      <c r="D167" s="14">
        <v>2</v>
      </c>
      <c r="E167" s="1" t="s">
        <v>29</v>
      </c>
    </row>
    <row r="168" spans="1:5" ht="13" x14ac:dyDescent="0.15">
      <c r="A168" s="2">
        <v>45255.686530439816</v>
      </c>
      <c r="B168" s="1" t="s">
        <v>41</v>
      </c>
      <c r="C168" s="1" t="s">
        <v>21</v>
      </c>
      <c r="D168" s="1">
        <v>4</v>
      </c>
      <c r="E168" s="1" t="s">
        <v>27</v>
      </c>
    </row>
  </sheetData>
  <mergeCells count="2">
    <mergeCell ref="M11:Q22"/>
    <mergeCell ref="L38:P5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Forma iš 1 atsakymų</vt:lpstr>
      <vt:lpstr>Forma iš 1 atsakymų (2)</vt:lpstr>
      <vt:lpstr>Forma iš 1 atsakymų (3)</vt:lpstr>
      <vt:lpstr>Forma iš 1 atsakymų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Eglė Jasevičiūtė</cp:lastModifiedBy>
  <dcterms:modified xsi:type="dcterms:W3CDTF">2023-12-28T20:49:55Z</dcterms:modified>
</cp:coreProperties>
</file>